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mbeddings/oleObject1.bin" ContentType="application/vnd.openxmlformats-officedocument.oleObject"/>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codeName="ThisWorkbook" defaultThemeVersion="166925"/>
  <mc:AlternateContent xmlns:mc="http://schemas.openxmlformats.org/markup-compatibility/2006">
    <mc:Choice Requires="x15">
      <x15ac:absPath xmlns:x15ac="http://schemas.microsoft.com/office/spreadsheetml/2010/11/ac" url="D:\Tien ich\64 bit - Copy\"/>
    </mc:Choice>
  </mc:AlternateContent>
  <xr:revisionPtr revIDLastSave="0" documentId="13_ncr:1_{951884A7-FACF-4264-A60A-B9CE4D056348}" xr6:coauthVersionLast="47" xr6:coauthVersionMax="47" xr10:uidLastSave="{00000000-0000-0000-0000-000000000000}"/>
  <bookViews>
    <workbookView xWindow="0" yWindow="540" windowWidth="15375" windowHeight="7875" tabRatio="920" firstSheet="2" activeTab="9" xr2:uid="{00000000-000D-0000-FFFF-FFFF00000000}"/>
  </bookViews>
  <sheets>
    <sheet name="Theo doi CPM" sheetId="37" state="hidden" r:id="rId1"/>
    <sheet name="ĐK" sheetId="35" state="hidden" r:id="rId2"/>
    <sheet name="TTCHUNG" sheetId="2" r:id="rId3"/>
    <sheet name="Tiếp nhận" sheetId="68" r:id="rId4"/>
    <sheet name="GG(CAT)" sheetId="67" r:id="rId5"/>
    <sheet name="GN(CAT)" sheetId="66" r:id="rId6"/>
    <sheet name="NX" sheetId="62" r:id="rId7"/>
    <sheet name="CĐ" sheetId="61" r:id="rId8"/>
    <sheet name="LAPHS" sheetId="58" r:id="rId9"/>
    <sheet name="KTHS" sheetId="60" r:id="rId10"/>
  </sheets>
  <externalReferences>
    <externalReference r:id="rId11"/>
  </externalReferences>
  <definedNames>
    <definedName name="_xlnm.Print_Area" localSheetId="7">CĐ!$A$1:$H$53</definedName>
    <definedName name="_xlnm.Print_Area" localSheetId="4">'GG(CAT)'!$A$1:$M$42</definedName>
    <definedName name="_xlnm.Print_Area" localSheetId="5">'GN(CAT)'!$A$1:$J$40</definedName>
    <definedName name="_xlnm.Print_Area" localSheetId="9">KTHS!$A$1:$J$86</definedName>
    <definedName name="_xlnm.Print_Area" localSheetId="8">LAPHS!$A$1:$J$86</definedName>
    <definedName name="_xlnm.Print_Area" localSheetId="6">NX!$A$1:$J$44</definedName>
    <definedName name="_xlnm.Print_Area" localSheetId="3">'Tiếp nhận'!$A$1:$M$44</definedName>
    <definedName name="_xlnm.Print_Area" localSheetId="2">TTCHUNG!$A$1:$G$28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58" l="1"/>
  <c r="A22" i="62"/>
  <c r="G7" i="67"/>
  <c r="G5" i="68"/>
  <c r="H35" i="68"/>
  <c r="F79" i="58" l="1"/>
  <c r="A14" i="68" l="1"/>
  <c r="A23" i="68" l="1"/>
  <c r="A13" i="68"/>
  <c r="A44" i="68" l="1"/>
  <c r="A12" i="68" l="1"/>
  <c r="A16" i="58" l="1"/>
  <c r="A27" i="67"/>
  <c r="A9" i="66"/>
  <c r="F19" i="58" l="1"/>
  <c r="A25" i="66"/>
  <c r="A23" i="66"/>
  <c r="A18" i="68"/>
  <c r="C18" i="66"/>
  <c r="A19" i="68"/>
  <c r="A21" i="68"/>
  <c r="F25" i="67"/>
  <c r="A29" i="66"/>
  <c r="A8" i="66"/>
  <c r="A10" i="68"/>
  <c r="B22" i="68" l="1"/>
  <c r="A35" i="68"/>
  <c r="I20" i="68"/>
  <c r="B20" i="68"/>
  <c r="D17" i="68"/>
  <c r="I16" i="68"/>
  <c r="C24" i="67"/>
  <c r="E23" i="67"/>
  <c r="I22" i="67"/>
  <c r="B22" i="67"/>
  <c r="D20" i="67"/>
  <c r="I19" i="67"/>
  <c r="C26" i="66"/>
  <c r="G24" i="66"/>
  <c r="B24" i="66"/>
  <c r="C22" i="66"/>
  <c r="G21" i="66"/>
  <c r="C13" i="66"/>
  <c r="B12" i="66"/>
  <c r="H11" i="66"/>
  <c r="B11" i="66"/>
  <c r="E38" i="66" s="1"/>
  <c r="C26" i="67"/>
  <c r="L16" i="68" l="1"/>
  <c r="I21" i="66"/>
  <c r="L19" i="67"/>
  <c r="C21" i="67"/>
  <c r="F52" i="61" l="1"/>
  <c r="D13" i="61"/>
  <c r="F19" i="60"/>
  <c r="B19" i="62" l="1"/>
  <c r="D18" i="62"/>
  <c r="E17" i="62"/>
  <c r="G16" i="62"/>
  <c r="B16" i="62"/>
  <c r="B15" i="62"/>
  <c r="C13" i="62"/>
  <c r="J12" i="62"/>
  <c r="G12" i="62"/>
  <c r="B12" i="62"/>
  <c r="D10" i="61"/>
  <c r="F32" i="61"/>
  <c r="F31" i="61"/>
  <c r="F30" i="61"/>
  <c r="F29" i="61"/>
  <c r="F27" i="61"/>
  <c r="F26" i="61"/>
  <c r="F24" i="61"/>
  <c r="F22" i="61"/>
  <c r="F21" i="61"/>
  <c r="F20" i="61"/>
  <c r="F19" i="61"/>
  <c r="F18" i="61"/>
  <c r="F17" i="61"/>
  <c r="D12" i="61"/>
  <c r="F11" i="61"/>
  <c r="E54" i="60"/>
  <c r="C25" i="60"/>
  <c r="D24" i="60"/>
  <c r="D23" i="60"/>
  <c r="J22" i="60"/>
  <c r="D22" i="60"/>
  <c r="F20" i="60"/>
  <c r="E26" i="60"/>
  <c r="E54" i="58"/>
  <c r="C25" i="58"/>
  <c r="D24" i="58"/>
  <c r="D23" i="58"/>
  <c r="J22" i="58"/>
  <c r="D22" i="58"/>
  <c r="F20" i="58"/>
  <c r="E26" i="58"/>
  <c r="D7" i="2" l="1"/>
  <c r="I44" i="68" s="1"/>
  <c r="D5" i="2"/>
  <c r="F4" i="2"/>
  <c r="A25" i="68" l="1"/>
  <c r="A21" i="66"/>
  <c r="A28" i="66"/>
  <c r="D11" i="61"/>
  <c r="B19" i="67"/>
  <c r="B16" i="68"/>
  <c r="K24" i="68"/>
</calcChain>
</file>

<file path=xl/sharedStrings.xml><?xml version="1.0" encoding="utf-8"?>
<sst xmlns="http://schemas.openxmlformats.org/spreadsheetml/2006/main" count="391" uniqueCount="227">
  <si>
    <t>THÔNG TIN CHUNG</t>
  </si>
  <si>
    <t>Cán bộ quản lý hồ sơ:</t>
  </si>
  <si>
    <t>Họ và tên:</t>
  </si>
  <si>
    <t>Tên gọi khác:</t>
  </si>
  <si>
    <t>Quê quán:</t>
  </si>
  <si>
    <t>Nơi ĐKTT:</t>
  </si>
  <si>
    <t>Hành vi phạm tội:</t>
  </si>
  <si>
    <t>Dân tộc:</t>
  </si>
  <si>
    <t>Quốc tịch:</t>
  </si>
  <si>
    <t>Nghề nghiệp:</t>
  </si>
  <si>
    <t>Bị bắt ngày:</t>
  </si>
  <si>
    <t>Số hồ sơ:</t>
  </si>
  <si>
    <t>Cấp bậc:</t>
  </si>
  <si>
    <t>Chức vụ:</t>
  </si>
  <si>
    <t>Cán bộ</t>
  </si>
  <si>
    <t>Trần Văn Dương</t>
  </si>
  <si>
    <t>CỘNG HÒA XÃ HỘI CHỦ NGHĨA VIỆT NAM</t>
  </si>
  <si>
    <t>BIÊN BẢN</t>
  </si>
  <si>
    <t xml:space="preserve">Hành vi phạm tội: </t>
  </si>
  <si>
    <t xml:space="preserve">Họ và tên: </t>
  </si>
  <si>
    <t>Giới tính:</t>
  </si>
  <si>
    <t>Sinh ngày:</t>
  </si>
  <si>
    <t>Việt Nam.</t>
  </si>
  <si>
    <t>Đơn vị thụ lý vụ án:</t>
  </si>
  <si>
    <t>(Ký, ghi rõ họ tên)</t>
  </si>
  <si>
    <t>Án phạt:</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</si>
  <si>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</si>
  <si>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</si>
  <si>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</si>
  <si>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</si>
  <si>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</si>
  <si>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</si>
  <si>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</si>
  <si>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</si>
  <si>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</si>
  <si>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</si>
  <si>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</si>
  <si>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</si>
  <si>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CÔNG AN TỈNH QUẢNG NINH</t>
  </si>
  <si>
    <t>TRẠI TẠM GIAM</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</si>
  <si>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</si>
  <si>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</si>
  <si>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</si>
  <si>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</si>
  <si>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</si>
  <si>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</si>
  <si>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</si>
  <si>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</si>
  <si>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</si>
  <si>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</si>
  <si>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</si>
  <si>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</si>
  <si>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</si>
  <si>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</si>
  <si>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</si>
  <si>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</si>
  <si>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</si>
  <si>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</si>
  <si>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</si>
  <si>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</si>
  <si>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</si>
  <si>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</si>
  <si>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</si>
  <si>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</si>
  <si>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</si>
  <si>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</si>
  <si>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</si>
  <si>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</si>
  <si>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</si>
  <si>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</si>
  <si>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</si>
  <si>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</si>
  <si>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</si>
  <si>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</si>
  <si>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</si>
  <si>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</si>
  <si>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</si>
  <si>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</si>
  <si>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</si>
  <si>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</si>
  <si>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</si>
  <si>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</si>
  <si>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</si>
  <si>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</si>
  <si>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</si>
  <si>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</si>
  <si>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</si>
  <si>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</si>
  <si>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</si>
  <si>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</si>
  <si>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</si>
  <si>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</si>
  <si>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</si>
  <si>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</si>
  <si>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</si>
  <si>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</si>
  <si>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</si>
  <si>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</si>
  <si>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</si>
  <si>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</si>
  <si>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</si>
  <si>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</si>
  <si>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</si>
  <si>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</si>
  <si>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</si>
  <si>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</si>
  <si>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</si>
  <si>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</si>
  <si>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</si>
  <si>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</si>
  <si>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</si>
  <si>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</si>
  <si>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</si>
  <si>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</si>
  <si>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</si>
  <si>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</si>
  <si>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</si>
  <si>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</si>
  <si>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</si>
  <si>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</si>
  <si>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</si>
  <si>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</si>
  <si>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</si>
  <si>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</si>
  <si>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</si>
  <si>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</si>
  <si>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</si>
  <si>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</si>
  <si>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</si>
  <si>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</si>
  <si>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</si>
  <si>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</si>
  <si>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</si>
  <si>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</si>
  <si>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</si>
  <si>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</si>
  <si>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</si>
  <si>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</si>
  <si>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</si>
  <si>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</si>
  <si>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</si>
  <si>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</si>
  <si>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Thượng tá</t>
  </si>
  <si>
    <t>Chấp hành nội quy, chưa có sai phạm gì.</t>
  </si>
  <si>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</si>
  <si>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</si>
  <si>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</si>
  <si>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</si>
  <si>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Tôi: Đỗ Thanh Xuân</t>
  </si>
  <si>
    <t>Phó Giám thị Trại tạm giam</t>
  </si>
  <si>
    <t>Trại tạm giam Công an tỉnh</t>
  </si>
  <si>
    <t>(Về việc chấp hành nội quy Trại tạm giam)</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</si>
  <si>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</si>
  <si>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</si>
  <si>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</si>
  <si>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</si>
  <si>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</si>
  <si>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</si>
  <si>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PC11 - CAT Quảng Ninh.</t>
  </si>
  <si>
    <t>Nơi nhận:</t>
  </si>
  <si>
    <t>Lao động tự do.</t>
  </si>
  <si>
    <r>
      <t>Giao nhận người bị tạm</t>
    </r>
    <r>
      <rPr>
        <sz val="14"/>
        <rFont val="Times New Roman"/>
        <family val="1"/>
      </rPr>
      <t xml:space="preserve"> </t>
    </r>
    <r>
      <rPr>
        <b/>
        <sz val="14"/>
        <rFont val="Times New Roman"/>
        <family val="1"/>
      </rPr>
      <t>giữ,tạm giam</t>
    </r>
  </si>
  <si>
    <t>.................................................................</t>
  </si>
  <si>
    <t>Tình trạng sức khoẻ: Bình thường.</t>
  </si>
  <si>
    <t>....................................................</t>
  </si>
  <si>
    <t>BÊN GIAO</t>
  </si>
  <si>
    <t>BÊN NHẬN</t>
  </si>
  <si>
    <t>(Ký, đóng dấu, ghi rõ họ tên)</t>
  </si>
  <si>
    <t>- Bên giao;</t>
  </si>
  <si>
    <t>- Bên nhận.</t>
  </si>
  <si>
    <t>Số:......../QĐ</t>
  </si>
  <si>
    <t>Bố trí giam giữ</t>
  </si>
  <si>
    <t>GIÁM THỊ TRẠI TẠM GIAM</t>
  </si>
  <si>
    <t>Sinh năm:</t>
  </si>
  <si>
    <r>
      <t>Vào Trại tạm giam</t>
    </r>
    <r>
      <rPr>
        <sz val="11"/>
        <rFont val="Times New Roman"/>
        <family val="1"/>
      </rPr>
      <t xml:space="preserve"> </t>
    </r>
    <r>
      <rPr>
        <sz val="14"/>
        <rFont val="Times New Roman"/>
        <family val="1"/>
      </rPr>
      <t>ngày:</t>
    </r>
  </si>
  <si>
    <t>Tiền án: 0</t>
  </si>
  <si>
    <t>Tiền sự: 0</t>
  </si>
  <si>
    <t xml:space="preserve">Án phạt: </t>
  </si>
  <si>
    <r>
      <t xml:space="preserve">   </t>
    </r>
    <r>
      <rPr>
        <b/>
        <sz val="14"/>
        <rFont val="Times New Roman"/>
        <family val="1"/>
      </rPr>
      <t xml:space="preserve">  Điều 2.</t>
    </r>
    <r>
      <rPr>
        <sz val="14"/>
        <rFont val="Times New Roman"/>
        <family val="1"/>
      </rPr>
      <t xml:space="preserve"> Quyết định này có hiệu lực kể từ ngày ký, đồng chí Tổ trưởng tổ quản giáo A............ và người có tên tại Điều 1 chịu trách nhiệm thi hành Quyết định này./.</t>
    </r>
  </si>
  <si>
    <t>................................................................................</t>
  </si>
  <si>
    <t>(Ký đóng dấu, ghi rõ họ tên)</t>
  </si>
  <si>
    <t>- Lưu hồ sơ người bị TG,TG;</t>
  </si>
  <si>
    <t>CAT Quảng Ninh.</t>
  </si>
  <si>
    <t>Tiếp nhận người có quyết định thi hành án</t>
  </si>
  <si>
    <t>KT. GIÁM THỊ</t>
  </si>
  <si>
    <t>NGƯỜI THI HÀNH ÁN</t>
  </si>
  <si>
    <t>NGƯỜI LẬP BIÊN BẢN</t>
  </si>
  <si>
    <t xml:space="preserve">         Căn cứ Điều 13 Luật thi hành tạm giữ, tạm giam quy định nhiệm vụ, quyền hạn, của nhà tạm giữ, trại tạm giam;</t>
  </si>
  <si>
    <t xml:space="preserve">         Căn cứ Điều 18 Luật thi hành tạm giữ, tạm giam quy định phân loại quản lý người bị tạm giữ, người bị tạm giam;</t>
  </si>
  <si>
    <t xml:space="preserve">         Xét báo cáo đề xuất của Đội quản giáo - Trại tạm giam.</t>
  </si>
  <si>
    <r>
      <t xml:space="preserve">        Điều 1. </t>
    </r>
    <r>
      <rPr>
        <sz val="14"/>
        <rFont val="Times New Roman"/>
        <family val="1"/>
      </rPr>
      <t>Bố trí giam giữ tại buồng số: .................; nhà................. Khu A.............. đối với người bị tạm giữ/tạm giam có lai lịch sau:</t>
    </r>
  </si>
  <si>
    <t xml:space="preserve">         Bên giao:</t>
  </si>
  <si>
    <t xml:space="preserve">   Đồng chí: </t>
  </si>
  <si>
    <t xml:space="preserve">   Cấp bậc: </t>
  </si>
  <si>
    <t xml:space="preserve">   Đơn vị công tác: </t>
  </si>
  <si>
    <t xml:space="preserve">   CM CAND số ......................... Cấp ngày ....../....../....... Đơn vị cấp:.....................................</t>
  </si>
  <si>
    <t xml:space="preserve">        Bên nhận:</t>
  </si>
  <si>
    <t xml:space="preserve">   Họ và tên: </t>
  </si>
  <si>
    <t xml:space="preserve">        Tiến hành lập biên bản giao nhận người bị tạm giữ/giam có lai lịch như sau:</t>
  </si>
  <si>
    <t xml:space="preserve">   Tên gọi khác:</t>
  </si>
  <si>
    <t xml:space="preserve">   Dân tộc:</t>
  </si>
  <si>
    <t xml:space="preserve">   Bị bắt ngày:</t>
  </si>
  <si>
    <r>
      <t xml:space="preserve">       Trường hợp giao, nhận</t>
    </r>
    <r>
      <rPr>
        <sz val="10"/>
        <rFont val="Times New Roman"/>
        <family val="1"/>
      </rPr>
      <t xml:space="preserve">: </t>
    </r>
    <r>
      <rPr>
        <sz val="14"/>
        <rFont val="Times New Roman"/>
        <family val="1"/>
      </rPr>
      <t xml:space="preserve"> Đưa vào Trại tạm giam.</t>
    </r>
  </si>
  <si>
    <t xml:space="preserve">           Lập biên bản tiếp nhận thi hành án phạt tù đối với:</t>
  </si>
  <si>
    <t xml:space="preserve">   Án phạt: </t>
  </si>
  <si>
    <t xml:space="preserve">            Biên bản kết thúc lúc ……. giờ …….. phút cùng ngày, đã đọc cho người có tên cùng nghe, thống nhất và ký tên./.</t>
  </si>
  <si>
    <r>
      <rPr>
        <sz val="14"/>
        <rFont val="Times New Roman"/>
        <family val="1"/>
      </rPr>
      <t xml:space="preserve">Tôi: </t>
    </r>
    <r>
      <rPr>
        <b/>
        <sz val="14"/>
        <rFont val="Times New Roman"/>
        <family val="1"/>
      </rPr>
      <t>Trần Văn Dương</t>
    </r>
  </si>
  <si>
    <t>Đại úy</t>
  </si>
  <si>
    <t>Bản án số</t>
  </si>
  <si>
    <t>QĐTHA số</t>
  </si>
  <si>
    <t>Ngày (Bản án)</t>
  </si>
  <si>
    <t>Tòa án ra QĐ (Bản án)</t>
  </si>
  <si>
    <t>Tòa án ra QĐTHA</t>
  </si>
  <si>
    <t>Ngày (QĐTHA)</t>
  </si>
  <si>
    <t>PGT trực</t>
  </si>
  <si>
    <t xml:space="preserve">         Trại tạm giam Công an tỉnh Quảng Ninh tiếp nhận bị án:</t>
  </si>
  <si>
    <t>- Như Điều 2;                để</t>
  </si>
  <si>
    <t>- Cán bộ đề xuất;     thực hiện</t>
  </si>
  <si>
    <t>CÁN BỘ CÔNG AN PHƯỜNG</t>
  </si>
  <si>
    <t>Cán bộ dẫn giải</t>
  </si>
  <si>
    <t>CAP</t>
  </si>
  <si>
    <t>1810GP1025/225CO</t>
  </si>
  <si>
    <t/>
  </si>
  <si>
    <t xml:space="preserve">          - Căn cứ Quyết định đưa người chấp hành án phạt tù đến nơi chấp hành án số       ngày       tháng      năm 2026 của Cơ quan Quản lý THAHS - Bộ Công an;</t>
  </si>
  <si>
    <t>Quảng Ninh, ngày       tháng      năm 2026</t>
  </si>
  <si>
    <t>Quảng Ninh, ngày       tháng     năm 2026</t>
  </si>
  <si>
    <t>Quảng Ninh, ngày.............tháng.............năm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</si>
</sst>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4"/>
      <color rgb="FFFF0000"/>
      <name val="Times New Roman"/>
      <family val="1"/>
    </font>
    <font>
      <b/>
      <sz val="13"/>
      <color theme="1"/>
      <name val="Times New Roman"/>
      <family val="1"/>
    </font>
    <font>
      <sz val="8"/>
      <name val="Calibri"/>
      <family val="2"/>
      <scheme val="minor"/>
    </font>
    <font>
      <sz val="13"/>
      <color theme="1"/>
      <name val="Times New Roman"/>
      <family val="1"/>
    </font>
    <font>
      <sz val="14"/>
      <color rgb="FF0000CC"/>
      <name val="Times New Roman"/>
      <family val="1"/>
    </font>
    <font>
      <sz val="13.5"/>
      <color theme="1"/>
      <name val="Times New Roman"/>
      <family val="1"/>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sz val="11"/>
      <name val="Times New Roman"/>
      <family val="1"/>
    </font>
    <font>
      <b/>
      <i/>
      <sz val="11"/>
      <name val="Times New Roman"/>
      <family val="1"/>
    </font>
    <font>
      <sz val="14"/>
      <color theme="0"/>
      <name val="Times New Roman"/>
      <family val="1"/>
    </font>
  </fonts>
  <fills count="8">
    <fill>
      <patternFill patternType="none"/>
    </fill>
    <fill>
      <patternFill patternType="gray125"/>
    </fill>
    <fill>
      <patternFill patternType="solid">
        <fgColor rgb="FF66FF99"/>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6">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s>
  <cellStyleXfs count="1">
    <xf numFmtId="0" fontId="0" fillId="0" borderId="0"/>
  </cellStyleXfs>
  <cellXfs count="176">
    <xf numFmtId="0" fontId="0" fillId="0" borderId="0" xfId="0"/>
    <xf numFmtId="0" fontId="1" fillId="0" borderId="0" xfId="0" applyFont="1"/>
    <xf numFmtId="0" fontId="2" fillId="0" borderId="0" xfId="0" applyFont="1"/>
    <xf numFmtId="0" fontId="5" fillId="0" borderId="0" xfId="0" applyFont="1"/>
    <xf numFmtId="0" fontId="8" fillId="0" borderId="0" xfId="0" applyFont="1"/>
    <xf numFmtId="0" fontId="1" fillId="0" borderId="4" xfId="0" applyFont="1" applyBorder="1"/>
    <xf numFmtId="0" fontId="4" fillId="0" borderId="4" xfId="0" applyFont="1" applyBorder="1"/>
    <xf numFmtId="0" fontId="9" fillId="0" borderId="4" xfId="0" applyFont="1" applyBorder="1"/>
    <xf numFmtId="0" fontId="7" fillId="2" borderId="5" xfId="0" applyFont="1" applyFill="1" applyBorder="1"/>
    <xf numFmtId="0" fontId="5" fillId="2" borderId="0" xfId="0" applyFont="1" applyFill="1"/>
    <xf numFmtId="0" fontId="5" fillId="2" borderId="2" xfId="0" applyFont="1" applyFill="1" applyBorder="1" applyAlignment="1">
      <alignment vertical="center" wrapText="1"/>
    </xf>
    <xf numFmtId="0" fontId="7" fillId="0" borderId="0" xfId="0" applyFont="1"/>
    <xf numFmtId="0" fontId="7" fillId="0" borderId="5" xfId="0" applyFont="1" applyBorder="1"/>
    <xf numFmtId="0" fontId="7" fillId="0" borderId="3" xfId="0" applyFont="1" applyBorder="1"/>
    <xf numFmtId="0" fontId="5" fillId="0" borderId="3" xfId="0" applyFont="1" applyBorder="1"/>
    <xf numFmtId="0" fontId="7" fillId="0" borderId="4" xfId="0" applyFont="1" applyBorder="1"/>
    <xf numFmtId="0" fontId="7" fillId="0" borderId="4" xfId="0" applyFont="1" applyBorder="1" applyAlignment="1">
      <alignment horizontal="right"/>
    </xf>
    <xf numFmtId="0" fontId="12" fillId="0" borderId="4" xfId="0" applyFont="1" applyBorder="1"/>
    <xf numFmtId="0" fontId="5" fillId="4" borderId="4" xfId="0" applyFont="1" applyFill="1" applyBorder="1"/>
    <xf numFmtId="0" fontId="12" fillId="4" borderId="4" xfId="0" applyFont="1" applyFill="1" applyBorder="1"/>
    <xf numFmtId="0" fontId="15" fillId="0" borderId="0" xfId="0" applyFont="1" applyAlignment="1">
      <alignment horizontal="center"/>
    </xf>
    <xf numFmtId="0" fontId="15" fillId="0" borderId="0" xfId="0" applyFont="1"/>
    <xf numFmtId="0" fontId="16" fillId="0" borderId="0" xfId="0" applyFont="1"/>
    <xf numFmtId="0" fontId="17" fillId="0" borderId="0" xfId="0" applyFont="1" applyAlignment="1">
      <alignment horizontal="justify" vertical="center"/>
    </xf>
    <xf numFmtId="0" fontId="17" fillId="0" borderId="0" xfId="0" applyFont="1"/>
    <xf numFmtId="0" fontId="21" fillId="0" borderId="0" xfId="0" applyFont="1" applyAlignment="1">
      <alignment horizontal="center" vertical="center" wrapText="1"/>
    </xf>
    <xf numFmtId="0" fontId="22" fillId="0" borderId="0" xfId="0" applyFont="1" applyAlignment="1">
      <alignment horizontal="center" vertical="center" wrapText="1"/>
    </xf>
    <xf numFmtId="0" fontId="21" fillId="0" borderId="0" xfId="0" applyFont="1" applyAlignment="1">
      <alignment vertical="center" wrapText="1"/>
    </xf>
    <xf numFmtId="0" fontId="19" fillId="0" borderId="0" xfId="0" quotePrefix="1" applyFont="1" applyAlignment="1">
      <alignment vertical="center"/>
    </xf>
    <xf numFmtId="0" fontId="24" fillId="0" borderId="0" xfId="0" applyFont="1" applyAlignment="1">
      <alignment vertical="center"/>
    </xf>
    <xf numFmtId="0" fontId="17" fillId="0" borderId="0" xfId="0" applyFont="1" applyAlignment="1">
      <alignment horizontal="right"/>
    </xf>
    <xf numFmtId="0" fontId="23" fillId="0" borderId="0" xfId="0" applyFont="1" applyAlignment="1">
      <alignment vertical="center" wrapText="1"/>
    </xf>
    <xf numFmtId="0" fontId="27" fillId="0" borderId="0" xfId="0" applyFont="1"/>
    <xf numFmtId="0" fontId="17" fillId="0" borderId="0" xfId="0" quotePrefix="1" applyFont="1"/>
    <xf numFmtId="0" fontId="13" fillId="0" borderId="3" xfId="0" applyFont="1" applyBorder="1"/>
    <xf numFmtId="0" fontId="29" fillId="0" borderId="3" xfId="0" applyFont="1" applyBorder="1"/>
    <xf numFmtId="0" fontId="14" fillId="0" borderId="3" xfId="0" applyFont="1" applyBorder="1"/>
    <xf numFmtId="0" fontId="25" fillId="0" borderId="0" xfId="0" applyFont="1"/>
    <xf numFmtId="0" fontId="17" fillId="0" borderId="0" xfId="0" applyFont="1" applyAlignment="1">
      <alignment vertical="center"/>
    </xf>
    <xf numFmtId="0" fontId="5" fillId="5" borderId="4" xfId="0" applyFont="1" applyFill="1" applyBorder="1"/>
    <xf numFmtId="0" fontId="17" fillId="0" borderId="0" xfId="0" applyFont="1" applyAlignment="1">
      <alignment horizontal="center"/>
    </xf>
    <xf numFmtId="0" fontId="33" fillId="0" borderId="0" xfId="0" applyFont="1" applyAlignment="1">
      <alignment horizontal="right"/>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right" vertical="center"/>
    </xf>
    <xf numFmtId="0" fontId="17" fillId="0" borderId="0" xfId="0" applyFont="1" applyAlignment="1">
      <alignment horizontal="right" vertical="center"/>
    </xf>
    <xf numFmtId="0" fontId="32" fillId="0" borderId="0" xfId="0" applyFont="1"/>
    <xf numFmtId="0" fontId="36" fillId="0" borderId="0" xfId="0" applyFont="1"/>
    <xf numFmtId="0" fontId="37" fillId="0" borderId="0" xfId="0" applyFont="1"/>
    <xf numFmtId="0" fontId="39" fillId="0" borderId="0" xfId="0" applyFont="1"/>
    <xf numFmtId="0" fontId="34" fillId="0" borderId="0" xfId="0" applyFont="1"/>
    <xf numFmtId="0" fontId="40" fillId="0" borderId="0" xfId="0" applyFont="1"/>
    <xf numFmtId="0" fontId="38" fillId="0" borderId="0" xfId="0" applyFont="1"/>
    <xf numFmtId="0" fontId="18" fillId="0" borderId="0" xfId="0" applyFont="1" applyAlignment="1">
      <alignment horizontal="center" vertical="center"/>
    </xf>
    <xf numFmtId="0" fontId="42" fillId="0" borderId="0" xfId="0" applyFont="1"/>
    <xf numFmtId="0" fontId="18" fillId="0" borderId="3" xfId="0" applyFont="1" applyBorder="1" applyAlignment="1">
      <alignment horizontal="center" vertical="center"/>
    </xf>
    <xf numFmtId="0" fontId="18" fillId="0" borderId="3" xfId="0" applyFont="1" applyBorder="1" applyAlignment="1">
      <alignment horizontal="center" vertical="center" wrapText="1"/>
    </xf>
    <xf numFmtId="0" fontId="18"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5" fillId="5" borderId="3" xfId="0" applyFont="1" applyFill="1" applyBorder="1"/>
    <xf numFmtId="0" fontId="12" fillId="6" borderId="4" xfId="0" applyFont="1" applyFill="1" applyBorder="1"/>
    <xf numFmtId="0" fontId="7" fillId="0" borderId="3" xfId="0" applyFont="1" applyBorder="1" applyAlignment="1">
      <alignment horizontal="center" vertical="center"/>
    </xf>
    <xf numFmtId="0" fontId="7" fillId="0" borderId="3" xfId="0" applyFont="1" applyBorder="1" applyAlignment="1">
      <alignment horizontal="center" vertical="center" wrapText="1"/>
    </xf>
    <xf numFmtId="0" fontId="28" fillId="0" borderId="0" xfId="0" applyFont="1"/>
    <xf numFmtId="0" fontId="3" fillId="0" borderId="4" xfId="0" applyFont="1" applyBorder="1"/>
    <xf numFmtId="0" fontId="24" fillId="0" borderId="0" xfId="0" applyFont="1"/>
    <xf numFmtId="0" fontId="20" fillId="0" borderId="0" xfId="0" applyFont="1"/>
    <xf numFmtId="0" fontId="45" fillId="2" borderId="2" xfId="0" applyFont="1" applyFill="1" applyBorder="1" applyAlignment="1">
      <alignment vertical="center" wrapText="1"/>
    </xf>
    <xf numFmtId="0" fontId="46" fillId="0" borderId="3" xfId="0" applyFont="1" applyBorder="1"/>
    <xf numFmtId="0" fontId="33" fillId="0" borderId="0" xfId="0" applyFont="1"/>
    <xf numFmtId="14" fontId="17" fillId="0" borderId="0" xfId="0" applyNumberFormat="1" applyFont="1"/>
    <xf numFmtId="14" fontId="32" fillId="0" borderId="0" xfId="0" applyNumberFormat="1" applyFont="1"/>
    <xf numFmtId="0" fontId="15" fillId="0" borderId="11" xfId="0" applyFont="1" applyBorder="1" applyAlignment="1">
      <alignment horizontal="center"/>
    </xf>
    <xf numFmtId="0" fontId="17" fillId="0" borderId="0" xfId="0" applyFont="1" applyAlignment="1">
      <alignment horizontal="center" vertical="center"/>
    </xf>
    <xf numFmtId="14" fontId="20" fillId="0" borderId="0" xfId="0" applyNumberFormat="1" applyFont="1" applyAlignment="1">
      <alignment vertical="center"/>
    </xf>
    <xf numFmtId="0" fontId="24" fillId="0" borderId="0" xfId="0" applyFont="1" applyAlignment="1">
      <alignment horizontal="center" vertical="center"/>
    </xf>
    <xf numFmtId="0" fontId="20" fillId="0" borderId="3" xfId="0" applyFont="1" applyBorder="1"/>
    <xf numFmtId="0" fontId="20" fillId="0" borderId="3" xfId="0" applyFont="1" applyBorder="1" applyAlignment="1">
      <alignment horizontal="center" vertical="center"/>
    </xf>
    <xf numFmtId="0" fontId="16" fillId="0" borderId="0" xfId="0" applyFont="1" applyAlignment="1">
      <alignment horizontal="center" vertical="center"/>
    </xf>
    <xf numFmtId="0" fontId="20" fillId="0" borderId="3" xfId="0" quotePrefix="1" applyFont="1" applyBorder="1" applyAlignment="1">
      <alignment horizontal="center" vertical="center"/>
    </xf>
    <xf numFmtId="0" fontId="7" fillId="0" borderId="4" xfId="0" quotePrefix="1" applyFont="1" applyBorder="1"/>
    <xf numFmtId="0" fontId="18" fillId="0" borderId="0" xfId="0" applyFont="1" applyAlignment="1">
      <alignment horizontal="right" vertical="center"/>
    </xf>
    <xf numFmtId="0" fontId="14" fillId="0" borderId="4" xfId="0" applyFont="1" applyBorder="1"/>
    <xf numFmtId="0" fontId="20" fillId="0" borderId="0" xfId="0" applyFont="1" applyAlignment="1">
      <alignment vertical="center"/>
    </xf>
    <xf numFmtId="0" fontId="47" fillId="0" borderId="0" xfId="0" applyFont="1" applyAlignment="1">
      <alignment vertical="center"/>
    </xf>
    <xf numFmtId="0" fontId="23" fillId="0" borderId="0" xfId="0" applyFont="1" applyAlignment="1">
      <alignment horizontal="center" vertical="center" wrapText="1"/>
    </xf>
    <xf numFmtId="0" fontId="15" fillId="0" borderId="0" xfId="0" applyFont="1" applyAlignment="1">
      <alignment horizontal="center" vertical="center" wrapText="1"/>
    </xf>
    <xf numFmtId="0" fontId="17" fillId="0" borderId="0" xfId="0" applyFont="1" applyAlignment="1">
      <alignment horizontal="left" vertical="center"/>
    </xf>
    <xf numFmtId="0" fontId="48" fillId="0" borderId="0" xfId="0" applyFont="1" applyAlignment="1">
      <alignment vertical="center"/>
    </xf>
    <xf numFmtId="0" fontId="19" fillId="0" borderId="0" xfId="0" applyFont="1" applyAlignment="1">
      <alignment vertical="center"/>
    </xf>
    <xf numFmtId="0" fontId="15" fillId="0" borderId="0" xfId="0" applyFont="1" applyAlignment="1">
      <alignment horizontal="center" wrapText="1"/>
    </xf>
    <xf numFmtId="14" fontId="11" fillId="0" borderId="4" xfId="0" applyNumberFormat="1" applyFont="1" applyBorder="1"/>
    <xf numFmtId="0" fontId="30" fillId="3" borderId="12" xfId="0" applyFont="1" applyFill="1" applyBorder="1" applyAlignment="1">
      <alignment horizontal="center"/>
    </xf>
    <xf numFmtId="0" fontId="30" fillId="3" borderId="13" xfId="0" applyFont="1" applyFill="1" applyBorder="1" applyAlignment="1">
      <alignment horizontal="center"/>
    </xf>
    <xf numFmtId="0" fontId="30" fillId="3" borderId="14" xfId="0" applyFont="1" applyFill="1" applyBorder="1" applyAlignment="1">
      <alignment horizontal="center"/>
    </xf>
    <xf numFmtId="0" fontId="14" fillId="5" borderId="3" xfId="0" applyFont="1" applyFill="1" applyBorder="1" applyAlignment="1">
      <alignment horizontal="center" vertical="center"/>
    </xf>
    <xf numFmtId="0" fontId="14" fillId="3" borderId="15" xfId="0" applyFont="1" applyFill="1" applyBorder="1"/>
    <xf numFmtId="0" fontId="1" fillId="0" borderId="15" xfId="0" applyFont="1" applyBorder="1"/>
    <xf numFmtId="49" fontId="14" fillId="5" borderId="3" xfId="0" applyNumberFormat="1" applyFont="1" applyFill="1" applyBorder="1" applyAlignment="1">
      <alignment horizontal="center" vertical="center"/>
    </xf>
    <xf numFmtId="49" fontId="14" fillId="5" borderId="3" xfId="0" applyNumberFormat="1" applyFont="1" applyFill="1" applyBorder="1" applyAlignment="1">
      <alignment horizontal="center" vertical="center" wrapText="1"/>
    </xf>
    <xf numFmtId="49" fontId="14" fillId="5" borderId="3" xfId="0" applyNumberFormat="1" applyFont="1" applyFill="1" applyBorder="1" applyAlignment="1">
      <alignment vertical="center"/>
    </xf>
    <xf numFmtId="49" fontId="12" fillId="0" borderId="4" xfId="0" applyNumberFormat="1" applyFont="1" applyBorder="1"/>
    <xf numFmtId="0" fontId="27" fillId="0" borderId="0" xfId="0" applyFont="1" applyAlignment="1"/>
    <xf numFmtId="49" fontId="14" fillId="0" borderId="4" xfId="0" applyNumberFormat="1" applyFont="1" applyBorder="1"/>
    <xf numFmtId="0" fontId="15" fillId="0" borderId="0" xfId="0" applyFont="1" applyAlignment="1">
      <alignment horizontal="center" vertical="center" wrapText="1"/>
    </xf>
    <xf numFmtId="0" fontId="14" fillId="7" borderId="3" xfId="0" applyFont="1" applyFill="1" applyBorder="1" applyAlignment="1">
      <alignment horizontal="center" vertical="center"/>
    </xf>
    <xf numFmtId="49" fontId="14" fillId="7" borderId="3" xfId="0" applyNumberFormat="1" applyFont="1" applyFill="1" applyBorder="1" applyAlignment="1">
      <alignment horizontal="center" vertical="center"/>
    </xf>
    <xf numFmtId="49" fontId="14" fillId="7" borderId="3" xfId="0" applyNumberFormat="1" applyFont="1" applyFill="1" applyBorder="1" applyAlignment="1">
      <alignment horizontal="center" vertical="center" wrapText="1"/>
    </xf>
    <xf numFmtId="0" fontId="15" fillId="0" borderId="0" xfId="0" applyFont="1" applyAlignment="1"/>
    <xf numFmtId="0" fontId="7" fillId="7" borderId="4" xfId="0" quotePrefix="1" applyFont="1" applyFill="1" applyBorder="1"/>
    <xf numFmtId="0" fontId="12" fillId="7" borderId="4" xfId="0" applyFont="1" applyFill="1" applyBorder="1"/>
    <xf numFmtId="0" fontId="43" fillId="0" borderId="0" xfId="0" applyFont="1" applyAlignment="1">
      <alignment horizontal="center"/>
    </xf>
    <xf numFmtId="0" fontId="1" fillId="0" borderId="0" xfId="0" applyFont="1" applyAlignment="1">
      <alignment horizontal="center"/>
    </xf>
    <xf numFmtId="0" fontId="10" fillId="3" borderId="0" xfId="0" applyFont="1" applyFill="1" applyAlignment="1">
      <alignment horizontal="center"/>
    </xf>
    <xf numFmtId="0" fontId="30" fillId="3" borderId="6" xfId="0" applyFont="1" applyFill="1" applyBorder="1" applyAlignment="1">
      <alignment horizontal="center"/>
    </xf>
    <xf numFmtId="0" fontId="30" fillId="3" borderId="1" xfId="0" applyFont="1" applyFill="1" applyBorder="1" applyAlignment="1">
      <alignment horizontal="center"/>
    </xf>
    <xf numFmtId="0" fontId="30" fillId="3" borderId="7" xfId="0" applyFont="1" applyFill="1" applyBorder="1" applyAlignment="1">
      <alignment horizontal="center"/>
    </xf>
    <xf numFmtId="0" fontId="7" fillId="0" borderId="0" xfId="0" applyFont="1" applyAlignment="1">
      <alignment horizontal="center"/>
    </xf>
    <xf numFmtId="0" fontId="7" fillId="0" borderId="0" xfId="0" applyFont="1" applyAlignment="1">
      <alignment horizontal="right" indent="1"/>
    </xf>
    <xf numFmtId="0" fontId="15" fillId="0" borderId="0" xfId="0" applyFont="1" applyAlignment="1">
      <alignment horizontal="center" vertical="center" wrapText="1"/>
    </xf>
    <xf numFmtId="0" fontId="15" fillId="0" borderId="0" xfId="0" applyFont="1" applyAlignment="1">
      <alignment horizontal="center"/>
    </xf>
    <xf numFmtId="49" fontId="15" fillId="0" borderId="0" xfId="0" applyNumberFormat="1" applyFont="1" applyAlignment="1">
      <alignment horizontal="center"/>
    </xf>
    <xf numFmtId="14" fontId="17" fillId="0" borderId="0" xfId="0" applyNumberFormat="1" applyFont="1" applyAlignment="1">
      <alignment horizontal="left" vertical="center" wrapText="1"/>
    </xf>
    <xf numFmtId="0" fontId="17" fillId="0" borderId="0" xfId="0" applyFont="1" applyAlignment="1">
      <alignment horizontal="left" vertical="center" wrapText="1"/>
    </xf>
    <xf numFmtId="0" fontId="17" fillId="0" borderId="0" xfId="0" applyFont="1" applyAlignment="1">
      <alignment horizontal="justify" vertical="center" wrapText="1"/>
    </xf>
    <xf numFmtId="0" fontId="17" fillId="0" borderId="0" xfId="0" applyFont="1" applyAlignment="1">
      <alignment horizontal="justify" vertical="center"/>
    </xf>
    <xf numFmtId="0" fontId="22" fillId="0" borderId="0" xfId="0" applyFont="1" applyAlignment="1">
      <alignment horizontal="center" vertical="center" wrapText="1"/>
    </xf>
    <xf numFmtId="0" fontId="17" fillId="0" borderId="0" xfId="0" applyFont="1" applyAlignment="1">
      <alignment horizontal="right"/>
    </xf>
    <xf numFmtId="0" fontId="17" fillId="0" borderId="0" xfId="0" applyFont="1" applyAlignment="1">
      <alignment horizontal="center"/>
    </xf>
    <xf numFmtId="14" fontId="17" fillId="0" borderId="0" xfId="0" applyNumberFormat="1" applyFont="1" applyAlignment="1">
      <alignment horizontal="left"/>
    </xf>
    <xf numFmtId="0" fontId="17" fillId="0" borderId="0" xfId="0" applyFont="1" applyAlignment="1">
      <alignment horizontal="left" vertical="center"/>
    </xf>
    <xf numFmtId="0" fontId="17" fillId="0" borderId="0" xfId="0" applyFont="1" applyAlignment="1">
      <alignment horizontal="center" vertical="center" wrapText="1"/>
    </xf>
    <xf numFmtId="0" fontId="15" fillId="0" borderId="0" xfId="0" applyFont="1" applyAlignment="1">
      <alignment horizontal="left" vertical="center" wrapText="1"/>
    </xf>
    <xf numFmtId="0" fontId="15" fillId="0" borderId="0" xfId="0" applyFont="1" applyAlignment="1">
      <alignment horizontal="center" wrapText="1"/>
    </xf>
    <xf numFmtId="0" fontId="20" fillId="0" borderId="0" xfId="0" applyFont="1" applyAlignment="1">
      <alignment horizontal="center"/>
    </xf>
    <xf numFmtId="0" fontId="18" fillId="0" borderId="0" xfId="0" applyFont="1" applyAlignment="1">
      <alignment horizontal="center"/>
    </xf>
    <xf numFmtId="0" fontId="28" fillId="0" borderId="0" xfId="0" applyFont="1" applyAlignment="1">
      <alignment horizontal="center"/>
    </xf>
    <xf numFmtId="0" fontId="33" fillId="0" borderId="0" xfId="0" applyFont="1" applyAlignment="1">
      <alignment horizontal="right"/>
    </xf>
    <xf numFmtId="0" fontId="15" fillId="0" borderId="0" xfId="0" applyFont="1" applyAlignment="1">
      <alignment horizontal="center" vertical="center"/>
    </xf>
    <xf numFmtId="14" fontId="17" fillId="0" borderId="0" xfId="0" applyNumberFormat="1" applyFont="1" applyAlignment="1">
      <alignment horizontal="center" vertical="center"/>
    </xf>
    <xf numFmtId="0" fontId="49" fillId="0" borderId="0" xfId="0" applyFont="1" applyAlignment="1">
      <alignment horizontal="left" vertical="center"/>
    </xf>
    <xf numFmtId="0" fontId="21" fillId="0" borderId="0" xfId="0" applyFont="1" applyAlignment="1">
      <alignment horizontal="center" vertical="center" wrapText="1"/>
    </xf>
    <xf numFmtId="0" fontId="23" fillId="0" borderId="0" xfId="0" applyFont="1" applyAlignment="1">
      <alignment horizontal="center" vertical="center" wrapText="1"/>
    </xf>
    <xf numFmtId="0" fontId="38" fillId="0" borderId="0" xfId="0" applyFont="1" applyAlignment="1">
      <alignment horizontal="center" vertical="center" wrapText="1"/>
    </xf>
    <xf numFmtId="0" fontId="32" fillId="0" borderId="0" xfId="0" applyFont="1" applyAlignment="1">
      <alignment horizontal="right"/>
    </xf>
    <xf numFmtId="0" fontId="33" fillId="0" borderId="0" xfId="0" applyFont="1" applyAlignment="1">
      <alignment horizontal="justify" vertical="center"/>
    </xf>
    <xf numFmtId="0" fontId="15" fillId="0" borderId="0" xfId="0" applyFont="1" applyAlignment="1">
      <alignment horizontal="justify" vertical="center"/>
    </xf>
    <xf numFmtId="0" fontId="2" fillId="0" borderId="0" xfId="0" applyFont="1" applyAlignment="1">
      <alignment horizontal="center"/>
    </xf>
    <xf numFmtId="0" fontId="1" fillId="0" borderId="0" xfId="0" applyFont="1" applyAlignment="1">
      <alignment horizontal="center" vertical="center" wrapText="1"/>
    </xf>
    <xf numFmtId="0" fontId="17" fillId="0" borderId="0" xfId="0" applyFont="1" applyAlignment="1">
      <alignment horizontal="left"/>
    </xf>
    <xf numFmtId="0" fontId="27" fillId="0" borderId="0" xfId="0" applyFont="1" applyAlignment="1">
      <alignment horizontal="center" wrapText="1"/>
    </xf>
    <xf numFmtId="0" fontId="27" fillId="0" borderId="0" xfId="0" applyFont="1" applyAlignment="1">
      <alignment horizontal="center"/>
    </xf>
    <xf numFmtId="0" fontId="32" fillId="0" borderId="0" xfId="0" applyFont="1" applyAlignment="1">
      <alignment horizontal="left"/>
    </xf>
    <xf numFmtId="0" fontId="33" fillId="0" borderId="0" xfId="0" applyFont="1" applyAlignment="1">
      <alignment horizontal="center" wrapText="1"/>
    </xf>
    <xf numFmtId="0" fontId="15" fillId="0" borderId="0" xfId="0" applyFont="1" applyAlignment="1">
      <alignment horizontal="left" vertical="center"/>
    </xf>
    <xf numFmtId="14" fontId="20" fillId="0" borderId="0" xfId="0" applyNumberFormat="1" applyFont="1" applyAlignment="1">
      <alignment horizontal="left" vertical="center"/>
    </xf>
    <xf numFmtId="0" fontId="20" fillId="0" borderId="0" xfId="0" applyFont="1" applyAlignment="1">
      <alignment horizontal="left" vertical="center" wrapText="1"/>
    </xf>
    <xf numFmtId="0" fontId="44" fillId="0" borderId="3" xfId="0" applyFont="1" applyBorder="1" applyAlignment="1">
      <alignment horizontal="left" vertical="center" wrapText="1"/>
    </xf>
    <xf numFmtId="0" fontId="18" fillId="0" borderId="3" xfId="0" applyFont="1" applyBorder="1" applyAlignment="1">
      <alignment horizontal="center" vertical="center"/>
    </xf>
    <xf numFmtId="0" fontId="18" fillId="0" borderId="3" xfId="0" applyFont="1" applyBorder="1" applyAlignment="1">
      <alignment horizontal="left"/>
    </xf>
    <xf numFmtId="0" fontId="20" fillId="0" borderId="3" xfId="0" applyFont="1" applyBorder="1" applyAlignment="1">
      <alignment horizontal="left" vertical="center"/>
    </xf>
    <xf numFmtId="0" fontId="20" fillId="0" borderId="3" xfId="0" applyFont="1" applyBorder="1" applyAlignment="1">
      <alignment horizontal="left" vertical="center" wrapText="1"/>
    </xf>
    <xf numFmtId="0" fontId="18" fillId="0" borderId="3" xfId="0" applyFont="1" applyBorder="1" applyAlignment="1">
      <alignment horizontal="left" vertical="center"/>
    </xf>
    <xf numFmtId="0" fontId="17" fillId="0" borderId="0" xfId="0" applyFont="1" applyAlignment="1">
      <alignment horizontal="center" vertical="center"/>
    </xf>
    <xf numFmtId="0" fontId="18" fillId="0" borderId="0" xfId="0" applyFont="1" applyAlignment="1">
      <alignment horizontal="left" vertical="center"/>
    </xf>
    <xf numFmtId="0" fontId="21" fillId="0" borderId="0" xfId="0" applyFont="1" applyAlignment="1">
      <alignment horizontal="center"/>
    </xf>
    <xf numFmtId="0" fontId="35" fillId="0" borderId="0" xfId="0" applyFont="1" applyAlignment="1">
      <alignment horizontal="center"/>
    </xf>
    <xf numFmtId="0" fontId="33" fillId="0" borderId="0" xfId="0" applyFont="1" applyAlignment="1">
      <alignment horizontal="center"/>
    </xf>
    <xf numFmtId="0" fontId="1" fillId="0" borderId="0" xfId="0" applyFont="1" applyAlignment="1">
      <alignment horizontal="justify" vertical="center"/>
    </xf>
    <xf numFmtId="0" fontId="28" fillId="0" borderId="0" xfId="0" applyFont="1" applyAlignment="1">
      <alignment horizontal="center" vertical="center"/>
    </xf>
    <xf numFmtId="0" fontId="38"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FF6600"/>
      <color rgb="FFF8CBAD"/>
      <color rgb="FF0000CC"/>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2.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3.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4.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8.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6.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2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00000000-0008-0000-02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2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2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0</xdr:row>
      <xdr:rowOff>0</xdr:rowOff>
    </xdr:from>
    <xdr:to>
      <xdr:col>16</xdr:col>
      <xdr:colOff>38100</xdr:colOff>
      <xdr:row>0</xdr:row>
      <xdr:rowOff>76200</xdr:rowOff>
    </xdr:to>
    <xdr:sp macro="" textlink="">
      <xdr:nvSpPr>
        <xdr:cNvPr id="2" name="Rectangle: Rounded Corners 20">
          <a:extLst>
            <a:ext uri="{FF2B5EF4-FFF2-40B4-BE49-F238E27FC236}">
              <a16:creationId xmlns:a16="http://schemas.microsoft.com/office/drawing/2014/main" id="{00000000-0008-0000-0300-000002000000}"/>
            </a:ext>
          </a:extLst>
        </xdr:cNvPr>
        <xdr:cNvSpPr/>
      </xdr:nvSpPr>
      <xdr:spPr>
        <a:xfrm>
          <a:off x="74485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1</xdr:row>
      <xdr:rowOff>85725</xdr:rowOff>
    </xdr:from>
    <xdr:to>
      <xdr:col>16</xdr:col>
      <xdr:colOff>47625</xdr:colOff>
      <xdr:row>2</xdr:row>
      <xdr:rowOff>133350</xdr:rowOff>
    </xdr:to>
    <xdr:sp macro="" textlink="">
      <xdr:nvSpPr>
        <xdr:cNvPr id="3" name="Rectangle: Rounded Corners 21">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7458075"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3</xdr:row>
      <xdr:rowOff>47625</xdr:rowOff>
    </xdr:from>
    <xdr:to>
      <xdr:col>16</xdr:col>
      <xdr:colOff>57150</xdr:colOff>
      <xdr:row>4</xdr:row>
      <xdr:rowOff>123825</xdr:rowOff>
    </xdr:to>
    <xdr:sp macro="" textlink="">
      <xdr:nvSpPr>
        <xdr:cNvPr id="4" name="Rectangle: Rounded Corners 22">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a:xfrm>
          <a:off x="7467600"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38100</xdr:rowOff>
    </xdr:from>
    <xdr:to>
      <xdr:col>16</xdr:col>
      <xdr:colOff>57150</xdr:colOff>
      <xdr:row>6</xdr:row>
      <xdr:rowOff>66675</xdr:rowOff>
    </xdr:to>
    <xdr:sp macro="" textlink="">
      <xdr:nvSpPr>
        <xdr:cNvPr id="5" name="Rectangle: Rounded Corners 23">
          <a:hlinkClick xmlns:r="http://schemas.openxmlformats.org/officeDocument/2006/relationships" r:id="rId3"/>
          <a:extLst>
            <a:ext uri="{FF2B5EF4-FFF2-40B4-BE49-F238E27FC236}">
              <a16:creationId xmlns:a16="http://schemas.microsoft.com/office/drawing/2014/main" id="{00000000-0008-0000-0300-000005000000}"/>
            </a:ext>
          </a:extLst>
        </xdr:cNvPr>
        <xdr:cNvSpPr/>
      </xdr:nvSpPr>
      <xdr:spPr>
        <a:xfrm>
          <a:off x="7467600"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0</xdr:rowOff>
    </xdr:from>
    <xdr:to>
      <xdr:col>16</xdr:col>
      <xdr:colOff>57150</xdr:colOff>
      <xdr:row>10</xdr:row>
      <xdr:rowOff>28575</xdr:rowOff>
    </xdr:to>
    <xdr:sp macro="" textlink="">
      <xdr:nvSpPr>
        <xdr:cNvPr id="6" name="Rectangle: Rounded Corners 24">
          <a:hlinkClick xmlns:r="http://schemas.openxmlformats.org/officeDocument/2006/relationships" r:id="rId4"/>
          <a:extLst>
            <a:ext uri="{FF2B5EF4-FFF2-40B4-BE49-F238E27FC236}">
              <a16:creationId xmlns:a16="http://schemas.microsoft.com/office/drawing/2014/main" id="{00000000-0008-0000-0300-000006000000}"/>
            </a:ext>
          </a:extLst>
        </xdr:cNvPr>
        <xdr:cNvSpPr/>
      </xdr:nvSpPr>
      <xdr:spPr>
        <a:xfrm>
          <a:off x="7467600" y="1914525"/>
          <a:ext cx="1257300" cy="74295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10</xdr:row>
      <xdr:rowOff>180975</xdr:rowOff>
    </xdr:from>
    <xdr:to>
      <xdr:col>16</xdr:col>
      <xdr:colOff>57150</xdr:colOff>
      <xdr:row>11</xdr:row>
      <xdr:rowOff>209550</xdr:rowOff>
    </xdr:to>
    <xdr:sp macro="" textlink="">
      <xdr:nvSpPr>
        <xdr:cNvPr id="7" name="Rectangle: Rounded Corners 25">
          <a:hlinkClick xmlns:r="http://schemas.openxmlformats.org/officeDocument/2006/relationships" r:id="rId5"/>
          <a:extLst>
            <a:ext uri="{FF2B5EF4-FFF2-40B4-BE49-F238E27FC236}">
              <a16:creationId xmlns:a16="http://schemas.microsoft.com/office/drawing/2014/main" id="{00000000-0008-0000-0300-000007000000}"/>
            </a:ext>
          </a:extLst>
        </xdr:cNvPr>
        <xdr:cNvSpPr/>
      </xdr:nvSpPr>
      <xdr:spPr>
        <a:xfrm>
          <a:off x="7467600" y="28098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11</xdr:row>
      <xdr:rowOff>361950</xdr:rowOff>
    </xdr:from>
    <xdr:to>
      <xdr:col>16</xdr:col>
      <xdr:colOff>57150</xdr:colOff>
      <xdr:row>12</xdr:row>
      <xdr:rowOff>171450</xdr:rowOff>
    </xdr:to>
    <xdr:sp macro="" textlink="">
      <xdr:nvSpPr>
        <xdr:cNvPr id="8" name="Rectangle: Rounded Corners 26">
          <a:hlinkClick xmlns:r="http://schemas.openxmlformats.org/officeDocument/2006/relationships" r:id="rId6"/>
          <a:extLst>
            <a:ext uri="{FF2B5EF4-FFF2-40B4-BE49-F238E27FC236}">
              <a16:creationId xmlns:a16="http://schemas.microsoft.com/office/drawing/2014/main" id="{00000000-0008-0000-0300-000008000000}"/>
            </a:ext>
          </a:extLst>
        </xdr:cNvPr>
        <xdr:cNvSpPr/>
      </xdr:nvSpPr>
      <xdr:spPr>
        <a:xfrm>
          <a:off x="7467600" y="32289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12</xdr:row>
      <xdr:rowOff>323850</xdr:rowOff>
    </xdr:from>
    <xdr:to>
      <xdr:col>16</xdr:col>
      <xdr:colOff>66675</xdr:colOff>
      <xdr:row>14</xdr:row>
      <xdr:rowOff>133350</xdr:rowOff>
    </xdr:to>
    <xdr:sp macro="" textlink="">
      <xdr:nvSpPr>
        <xdr:cNvPr id="9" name="Rectangle: Rounded Corners 27">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7477125" y="36480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0</xdr:row>
      <xdr:rowOff>0</xdr:rowOff>
    </xdr:from>
    <xdr:to>
      <xdr:col>18</xdr:col>
      <xdr:colOff>238125</xdr:colOff>
      <xdr:row>0</xdr:row>
      <xdr:rowOff>85725</xdr:rowOff>
    </xdr:to>
    <xdr:sp macro="" textlink="">
      <xdr:nvSpPr>
        <xdr:cNvPr id="10" name="Rectangle: Rounded Corners 28">
          <a:hlinkClick xmlns:r="http://schemas.openxmlformats.org/officeDocument/2006/relationships" r:id="rId8"/>
          <a:extLst>
            <a:ext uri="{FF2B5EF4-FFF2-40B4-BE49-F238E27FC236}">
              <a16:creationId xmlns:a16="http://schemas.microsoft.com/office/drawing/2014/main" id="{00000000-0008-0000-0300-00000A000000}"/>
            </a:ext>
          </a:extLst>
        </xdr:cNvPr>
        <xdr:cNvSpPr/>
      </xdr:nvSpPr>
      <xdr:spPr>
        <a:xfrm>
          <a:off x="88677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1</xdr:row>
      <xdr:rowOff>95250</xdr:rowOff>
    </xdr:from>
    <xdr:to>
      <xdr:col>18</xdr:col>
      <xdr:colOff>247650</xdr:colOff>
      <xdr:row>2</xdr:row>
      <xdr:rowOff>142875</xdr:rowOff>
    </xdr:to>
    <xdr:sp macro="" textlink="">
      <xdr:nvSpPr>
        <xdr:cNvPr id="11" name="Rectangle: Rounded Corners 29">
          <a:hlinkClick xmlns:r="http://schemas.openxmlformats.org/officeDocument/2006/relationships" r:id="rId9"/>
          <a:extLst>
            <a:ext uri="{FF2B5EF4-FFF2-40B4-BE49-F238E27FC236}">
              <a16:creationId xmlns:a16="http://schemas.microsoft.com/office/drawing/2014/main" id="{00000000-0008-0000-0300-00000B000000}"/>
            </a:ext>
          </a:extLst>
        </xdr:cNvPr>
        <xdr:cNvSpPr/>
      </xdr:nvSpPr>
      <xdr:spPr>
        <a:xfrm>
          <a:off x="8877300"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3</xdr:row>
      <xdr:rowOff>57150</xdr:rowOff>
    </xdr:from>
    <xdr:to>
      <xdr:col>18</xdr:col>
      <xdr:colOff>257175</xdr:colOff>
      <xdr:row>4</xdr:row>
      <xdr:rowOff>133350</xdr:rowOff>
    </xdr:to>
    <xdr:sp macro="" textlink="">
      <xdr:nvSpPr>
        <xdr:cNvPr id="12" name="Rectangle: Rounded Corners 30">
          <a:hlinkClick xmlns:r="http://schemas.openxmlformats.org/officeDocument/2006/relationships" r:id="rId10"/>
          <a:extLst>
            <a:ext uri="{FF2B5EF4-FFF2-40B4-BE49-F238E27FC236}">
              <a16:creationId xmlns:a16="http://schemas.microsoft.com/office/drawing/2014/main" id="{00000000-0008-0000-0300-00000C000000}"/>
            </a:ext>
          </a:extLst>
        </xdr:cNvPr>
        <xdr:cNvSpPr/>
      </xdr:nvSpPr>
      <xdr:spPr>
        <a:xfrm>
          <a:off x="8886825"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47625</xdr:rowOff>
    </xdr:from>
    <xdr:to>
      <xdr:col>18</xdr:col>
      <xdr:colOff>257175</xdr:colOff>
      <xdr:row>6</xdr:row>
      <xdr:rowOff>76200</xdr:rowOff>
    </xdr:to>
    <xdr:sp macro="" textlink="">
      <xdr:nvSpPr>
        <xdr:cNvPr id="13" name="Rectangle: Rounded Corners 31">
          <a:hlinkClick xmlns:r="http://schemas.openxmlformats.org/officeDocument/2006/relationships" r:id="rId11"/>
          <a:extLst>
            <a:ext uri="{FF2B5EF4-FFF2-40B4-BE49-F238E27FC236}">
              <a16:creationId xmlns:a16="http://schemas.microsoft.com/office/drawing/2014/main" id="{00000000-0008-0000-0300-00000D000000}"/>
            </a:ext>
          </a:extLst>
        </xdr:cNvPr>
        <xdr:cNvSpPr/>
      </xdr:nvSpPr>
      <xdr:spPr>
        <a:xfrm>
          <a:off x="8886825"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9525</xdr:rowOff>
    </xdr:from>
    <xdr:to>
      <xdr:col>18</xdr:col>
      <xdr:colOff>257175</xdr:colOff>
      <xdr:row>10</xdr:row>
      <xdr:rowOff>38100</xdr:rowOff>
    </xdr:to>
    <xdr:sp macro="" textlink="">
      <xdr:nvSpPr>
        <xdr:cNvPr id="14" name="Rectangle: Rounded Corners 32">
          <a:hlinkClick xmlns:r="http://schemas.openxmlformats.org/officeDocument/2006/relationships" r:id="rId12"/>
          <a:extLst>
            <a:ext uri="{FF2B5EF4-FFF2-40B4-BE49-F238E27FC236}">
              <a16:creationId xmlns:a16="http://schemas.microsoft.com/office/drawing/2014/main" id="{00000000-0008-0000-0300-00000E000000}"/>
            </a:ext>
          </a:extLst>
        </xdr:cNvPr>
        <xdr:cNvSpPr/>
      </xdr:nvSpPr>
      <xdr:spPr>
        <a:xfrm>
          <a:off x="8886825" y="1924050"/>
          <a:ext cx="1257300" cy="74295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10</xdr:row>
      <xdr:rowOff>190500</xdr:rowOff>
    </xdr:from>
    <xdr:to>
      <xdr:col>18</xdr:col>
      <xdr:colOff>257175</xdr:colOff>
      <xdr:row>11</xdr:row>
      <xdr:rowOff>219075</xdr:rowOff>
    </xdr:to>
    <xdr:sp macro="" textlink="">
      <xdr:nvSpPr>
        <xdr:cNvPr id="15" name="Rectangle: Rounded Corners 33">
          <a:hlinkClick xmlns:r="http://schemas.openxmlformats.org/officeDocument/2006/relationships" r:id="rId13"/>
          <a:extLst>
            <a:ext uri="{FF2B5EF4-FFF2-40B4-BE49-F238E27FC236}">
              <a16:creationId xmlns:a16="http://schemas.microsoft.com/office/drawing/2014/main" id="{00000000-0008-0000-0300-00000F000000}"/>
            </a:ext>
          </a:extLst>
        </xdr:cNvPr>
        <xdr:cNvSpPr/>
      </xdr:nvSpPr>
      <xdr:spPr>
        <a:xfrm>
          <a:off x="8886825" y="28194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11</xdr:row>
      <xdr:rowOff>371475</xdr:rowOff>
    </xdr:from>
    <xdr:to>
      <xdr:col>18</xdr:col>
      <xdr:colOff>257175</xdr:colOff>
      <xdr:row>12</xdr:row>
      <xdr:rowOff>180975</xdr:rowOff>
    </xdr:to>
    <xdr:sp macro="" textlink="">
      <xdr:nvSpPr>
        <xdr:cNvPr id="16" name="Rectangle: Rounded Corners 34">
          <a:hlinkClick xmlns:r="http://schemas.openxmlformats.org/officeDocument/2006/relationships" r:id="rId14"/>
          <a:extLst>
            <a:ext uri="{FF2B5EF4-FFF2-40B4-BE49-F238E27FC236}">
              <a16:creationId xmlns:a16="http://schemas.microsoft.com/office/drawing/2014/main" id="{00000000-0008-0000-0300-000010000000}"/>
            </a:ext>
          </a:extLst>
        </xdr:cNvPr>
        <xdr:cNvSpPr/>
      </xdr:nvSpPr>
      <xdr:spPr>
        <a:xfrm>
          <a:off x="8886825" y="32385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12</xdr:row>
      <xdr:rowOff>333375</xdr:rowOff>
    </xdr:from>
    <xdr:to>
      <xdr:col>18</xdr:col>
      <xdr:colOff>266700</xdr:colOff>
      <xdr:row>14</xdr:row>
      <xdr:rowOff>142875</xdr:rowOff>
    </xdr:to>
    <xdr:sp macro="" textlink="">
      <xdr:nvSpPr>
        <xdr:cNvPr id="17" name="Rectangle: Rounded Corners 35">
          <a:hlinkClick xmlns:r="http://schemas.openxmlformats.org/officeDocument/2006/relationships" r:id="rId15"/>
          <a:extLst>
            <a:ext uri="{FF2B5EF4-FFF2-40B4-BE49-F238E27FC236}">
              <a16:creationId xmlns:a16="http://schemas.microsoft.com/office/drawing/2014/main" id="{00000000-0008-0000-0300-000011000000}"/>
            </a:ext>
          </a:extLst>
        </xdr:cNvPr>
        <xdr:cNvSpPr/>
      </xdr:nvSpPr>
      <xdr:spPr>
        <a:xfrm>
          <a:off x="8896350" y="3657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14</xdr:row>
      <xdr:rowOff>285750</xdr:rowOff>
    </xdr:from>
    <xdr:to>
      <xdr:col>16</xdr:col>
      <xdr:colOff>85725</xdr:colOff>
      <xdr:row>15</xdr:row>
      <xdr:rowOff>0</xdr:rowOff>
    </xdr:to>
    <xdr:sp macro="" textlink="">
      <xdr:nvSpPr>
        <xdr:cNvPr id="18" name="Rectangle: Rounded Corners 36">
          <a:hlinkClick xmlns:r="http://schemas.openxmlformats.org/officeDocument/2006/relationships" r:id="rId16"/>
          <a:extLst>
            <a:ext uri="{FF2B5EF4-FFF2-40B4-BE49-F238E27FC236}">
              <a16:creationId xmlns:a16="http://schemas.microsoft.com/office/drawing/2014/main" id="{00000000-0008-0000-0300-000012000000}"/>
            </a:ext>
          </a:extLst>
        </xdr:cNvPr>
        <xdr:cNvSpPr/>
      </xdr:nvSpPr>
      <xdr:spPr>
        <a:xfrm>
          <a:off x="7496175" y="40671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276225</xdr:colOff>
      <xdr:row>3</xdr:row>
      <xdr:rowOff>28575</xdr:rowOff>
    </xdr:from>
    <xdr:to>
      <xdr:col>11</xdr:col>
      <xdr:colOff>247650</xdr:colOff>
      <xdr:row>3</xdr:row>
      <xdr:rowOff>38100</xdr:rowOff>
    </xdr:to>
    <xdr:cxnSp macro="">
      <xdr:nvCxnSpPr>
        <xdr:cNvPr id="19" name="Straight Connector 18">
          <a:extLst>
            <a:ext uri="{FF2B5EF4-FFF2-40B4-BE49-F238E27FC236}">
              <a16:creationId xmlns:a16="http://schemas.microsoft.com/office/drawing/2014/main" id="{00000000-0008-0000-0300-000013000000}"/>
            </a:ext>
          </a:extLst>
        </xdr:cNvPr>
        <xdr:cNvCxnSpPr/>
      </xdr:nvCxnSpPr>
      <xdr:spPr>
        <a:xfrm>
          <a:off x="3609975" y="103822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xdr:row>
      <xdr:rowOff>19050</xdr:rowOff>
    </xdr:from>
    <xdr:to>
      <xdr:col>4</xdr:col>
      <xdr:colOff>247650</xdr:colOff>
      <xdr:row>3</xdr:row>
      <xdr:rowOff>19050</xdr:rowOff>
    </xdr:to>
    <xdr:cxnSp macro="">
      <xdr:nvCxnSpPr>
        <xdr:cNvPr id="21" name="Straight Connector 20">
          <a:extLst>
            <a:ext uri="{FF2B5EF4-FFF2-40B4-BE49-F238E27FC236}">
              <a16:creationId xmlns:a16="http://schemas.microsoft.com/office/drawing/2014/main" id="{00000000-0008-0000-0300-000015000000}"/>
            </a:ext>
          </a:extLst>
        </xdr:cNvPr>
        <xdr:cNvCxnSpPr/>
      </xdr:nvCxnSpPr>
      <xdr:spPr>
        <a:xfrm>
          <a:off x="790575" y="1028700"/>
          <a:ext cx="8191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0">
          <a:extLst>
            <a:ext uri="{FF2B5EF4-FFF2-40B4-BE49-F238E27FC236}">
              <a16:creationId xmlns:a16="http://schemas.microsoft.com/office/drawing/2014/main" id="{00000000-0008-0000-0400-000002000000}"/>
            </a:ext>
          </a:extLst>
        </xdr:cNvPr>
        <xdr:cNvSpPr/>
      </xdr:nvSpPr>
      <xdr:spPr>
        <a:xfrm>
          <a:off x="74485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85725</xdr:rowOff>
    </xdr:from>
    <xdr:to>
      <xdr:col>16</xdr:col>
      <xdr:colOff>47625</xdr:colOff>
      <xdr:row>4</xdr:row>
      <xdr:rowOff>133350</xdr:rowOff>
    </xdr:to>
    <xdr:sp macro="" textlink="">
      <xdr:nvSpPr>
        <xdr:cNvPr id="3" name="Rectangle: Rounded Corners 21">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7458075"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47625</xdr:rowOff>
    </xdr:from>
    <xdr:to>
      <xdr:col>16</xdr:col>
      <xdr:colOff>57150</xdr:colOff>
      <xdr:row>6</xdr:row>
      <xdr:rowOff>123825</xdr:rowOff>
    </xdr:to>
    <xdr:sp macro="" textlink="">
      <xdr:nvSpPr>
        <xdr:cNvPr id="4" name="Rectangle: Rounded Corners 22">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a:off x="7467600"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3">
          <a:hlinkClick xmlns:r="http://schemas.openxmlformats.org/officeDocument/2006/relationships" r:id="rId3"/>
          <a:extLst>
            <a:ext uri="{FF2B5EF4-FFF2-40B4-BE49-F238E27FC236}">
              <a16:creationId xmlns:a16="http://schemas.microsoft.com/office/drawing/2014/main" id="{00000000-0008-0000-0400-000005000000}"/>
            </a:ext>
          </a:extLst>
        </xdr:cNvPr>
        <xdr:cNvSpPr/>
      </xdr:nvSpPr>
      <xdr:spPr>
        <a:xfrm>
          <a:off x="7467600"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0</xdr:rowOff>
    </xdr:from>
    <xdr:to>
      <xdr:col>16</xdr:col>
      <xdr:colOff>57150</xdr:colOff>
      <xdr:row>12</xdr:row>
      <xdr:rowOff>28575</xdr:rowOff>
    </xdr:to>
    <xdr:sp macro="" textlink="">
      <xdr:nvSpPr>
        <xdr:cNvPr id="6" name="Rectangle: Rounded Corners 24">
          <a:hlinkClick xmlns:r="http://schemas.openxmlformats.org/officeDocument/2006/relationships" r:id="rId4"/>
          <a:extLst>
            <a:ext uri="{FF2B5EF4-FFF2-40B4-BE49-F238E27FC236}">
              <a16:creationId xmlns:a16="http://schemas.microsoft.com/office/drawing/2014/main" id="{00000000-0008-0000-0400-000006000000}"/>
            </a:ext>
          </a:extLst>
        </xdr:cNvPr>
        <xdr:cNvSpPr/>
      </xdr:nvSpPr>
      <xdr:spPr>
        <a:xfrm>
          <a:off x="7467600" y="1914525"/>
          <a:ext cx="1257300" cy="74295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12</xdr:row>
      <xdr:rowOff>180975</xdr:rowOff>
    </xdr:from>
    <xdr:to>
      <xdr:col>16</xdr:col>
      <xdr:colOff>57150</xdr:colOff>
      <xdr:row>13</xdr:row>
      <xdr:rowOff>209550</xdr:rowOff>
    </xdr:to>
    <xdr:sp macro="" textlink="">
      <xdr:nvSpPr>
        <xdr:cNvPr id="7" name="Rectangle: Rounded Corners 25">
          <a:hlinkClick xmlns:r="http://schemas.openxmlformats.org/officeDocument/2006/relationships" r:id="rId5"/>
          <a:extLst>
            <a:ext uri="{FF2B5EF4-FFF2-40B4-BE49-F238E27FC236}">
              <a16:creationId xmlns:a16="http://schemas.microsoft.com/office/drawing/2014/main" id="{00000000-0008-0000-0400-000007000000}"/>
            </a:ext>
          </a:extLst>
        </xdr:cNvPr>
        <xdr:cNvSpPr/>
      </xdr:nvSpPr>
      <xdr:spPr>
        <a:xfrm>
          <a:off x="7467600" y="28098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13</xdr:row>
      <xdr:rowOff>361950</xdr:rowOff>
    </xdr:from>
    <xdr:to>
      <xdr:col>16</xdr:col>
      <xdr:colOff>57150</xdr:colOff>
      <xdr:row>14</xdr:row>
      <xdr:rowOff>171450</xdr:rowOff>
    </xdr:to>
    <xdr:sp macro="" textlink="">
      <xdr:nvSpPr>
        <xdr:cNvPr id="8" name="Rectangle: Rounded Corners 26">
          <a:hlinkClick xmlns:r="http://schemas.openxmlformats.org/officeDocument/2006/relationships" r:id="rId6"/>
          <a:extLst>
            <a:ext uri="{FF2B5EF4-FFF2-40B4-BE49-F238E27FC236}">
              <a16:creationId xmlns:a16="http://schemas.microsoft.com/office/drawing/2014/main" id="{00000000-0008-0000-0400-000008000000}"/>
            </a:ext>
          </a:extLst>
        </xdr:cNvPr>
        <xdr:cNvSpPr/>
      </xdr:nvSpPr>
      <xdr:spPr>
        <a:xfrm>
          <a:off x="7467600" y="32289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14</xdr:row>
      <xdr:rowOff>323850</xdr:rowOff>
    </xdr:from>
    <xdr:to>
      <xdr:col>16</xdr:col>
      <xdr:colOff>66675</xdr:colOff>
      <xdr:row>15</xdr:row>
      <xdr:rowOff>133350</xdr:rowOff>
    </xdr:to>
    <xdr:sp macro="" textlink="">
      <xdr:nvSpPr>
        <xdr:cNvPr id="9" name="Rectangle: Rounded Corners 27">
          <a:hlinkClick xmlns:r="http://schemas.openxmlformats.org/officeDocument/2006/relationships" r:id="rId7"/>
          <a:extLst>
            <a:ext uri="{FF2B5EF4-FFF2-40B4-BE49-F238E27FC236}">
              <a16:creationId xmlns:a16="http://schemas.microsoft.com/office/drawing/2014/main" id="{00000000-0008-0000-0400-000009000000}"/>
            </a:ext>
          </a:extLst>
        </xdr:cNvPr>
        <xdr:cNvSpPr/>
      </xdr:nvSpPr>
      <xdr:spPr>
        <a:xfrm>
          <a:off x="7477125" y="36480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8">
          <a:hlinkClick xmlns:r="http://schemas.openxmlformats.org/officeDocument/2006/relationships" r:id="rId8"/>
          <a:extLst>
            <a:ext uri="{FF2B5EF4-FFF2-40B4-BE49-F238E27FC236}">
              <a16:creationId xmlns:a16="http://schemas.microsoft.com/office/drawing/2014/main" id="{00000000-0008-0000-0400-00000A000000}"/>
            </a:ext>
          </a:extLst>
        </xdr:cNvPr>
        <xdr:cNvSpPr/>
      </xdr:nvSpPr>
      <xdr:spPr>
        <a:xfrm>
          <a:off x="88677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95250</xdr:rowOff>
    </xdr:from>
    <xdr:to>
      <xdr:col>18</xdr:col>
      <xdr:colOff>247650</xdr:colOff>
      <xdr:row>4</xdr:row>
      <xdr:rowOff>142875</xdr:rowOff>
    </xdr:to>
    <xdr:sp macro="" textlink="">
      <xdr:nvSpPr>
        <xdr:cNvPr id="11" name="Rectangle: Rounded Corners 29">
          <a:hlinkClick xmlns:r="http://schemas.openxmlformats.org/officeDocument/2006/relationships" r:id="rId9"/>
          <a:extLst>
            <a:ext uri="{FF2B5EF4-FFF2-40B4-BE49-F238E27FC236}">
              <a16:creationId xmlns:a16="http://schemas.microsoft.com/office/drawing/2014/main" id="{00000000-0008-0000-0400-00000B000000}"/>
            </a:ext>
          </a:extLst>
        </xdr:cNvPr>
        <xdr:cNvSpPr/>
      </xdr:nvSpPr>
      <xdr:spPr>
        <a:xfrm>
          <a:off x="8877300"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57150</xdr:rowOff>
    </xdr:from>
    <xdr:to>
      <xdr:col>18</xdr:col>
      <xdr:colOff>257175</xdr:colOff>
      <xdr:row>6</xdr:row>
      <xdr:rowOff>133350</xdr:rowOff>
    </xdr:to>
    <xdr:sp macro="" textlink="">
      <xdr:nvSpPr>
        <xdr:cNvPr id="12" name="Rectangle: Rounded Corners 30">
          <a:hlinkClick xmlns:r="http://schemas.openxmlformats.org/officeDocument/2006/relationships" r:id="rId10"/>
          <a:extLst>
            <a:ext uri="{FF2B5EF4-FFF2-40B4-BE49-F238E27FC236}">
              <a16:creationId xmlns:a16="http://schemas.microsoft.com/office/drawing/2014/main" id="{00000000-0008-0000-0400-00000C000000}"/>
            </a:ext>
          </a:extLst>
        </xdr:cNvPr>
        <xdr:cNvSpPr/>
      </xdr:nvSpPr>
      <xdr:spPr>
        <a:xfrm>
          <a:off x="8886825"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1">
          <a:hlinkClick xmlns:r="http://schemas.openxmlformats.org/officeDocument/2006/relationships" r:id="rId11"/>
          <a:extLst>
            <a:ext uri="{FF2B5EF4-FFF2-40B4-BE49-F238E27FC236}">
              <a16:creationId xmlns:a16="http://schemas.microsoft.com/office/drawing/2014/main" id="{00000000-0008-0000-0400-00000D000000}"/>
            </a:ext>
          </a:extLst>
        </xdr:cNvPr>
        <xdr:cNvSpPr/>
      </xdr:nvSpPr>
      <xdr:spPr>
        <a:xfrm>
          <a:off x="8886825"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9525</xdr:rowOff>
    </xdr:from>
    <xdr:to>
      <xdr:col>18</xdr:col>
      <xdr:colOff>257175</xdr:colOff>
      <xdr:row>12</xdr:row>
      <xdr:rowOff>38100</xdr:rowOff>
    </xdr:to>
    <xdr:sp macro="" textlink="">
      <xdr:nvSpPr>
        <xdr:cNvPr id="14" name="Rectangle: Rounded Corners 32">
          <a:hlinkClick xmlns:r="http://schemas.openxmlformats.org/officeDocument/2006/relationships" r:id="rId12"/>
          <a:extLst>
            <a:ext uri="{FF2B5EF4-FFF2-40B4-BE49-F238E27FC236}">
              <a16:creationId xmlns:a16="http://schemas.microsoft.com/office/drawing/2014/main" id="{00000000-0008-0000-0400-00000E000000}"/>
            </a:ext>
          </a:extLst>
        </xdr:cNvPr>
        <xdr:cNvSpPr/>
      </xdr:nvSpPr>
      <xdr:spPr>
        <a:xfrm>
          <a:off x="8886825" y="1924050"/>
          <a:ext cx="1257300" cy="74295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12</xdr:row>
      <xdr:rowOff>190500</xdr:rowOff>
    </xdr:from>
    <xdr:to>
      <xdr:col>18</xdr:col>
      <xdr:colOff>257175</xdr:colOff>
      <xdr:row>13</xdr:row>
      <xdr:rowOff>219075</xdr:rowOff>
    </xdr:to>
    <xdr:sp macro="" textlink="">
      <xdr:nvSpPr>
        <xdr:cNvPr id="15" name="Rectangle: Rounded Corners 33">
          <a:hlinkClick xmlns:r="http://schemas.openxmlformats.org/officeDocument/2006/relationships" r:id="rId13"/>
          <a:extLst>
            <a:ext uri="{FF2B5EF4-FFF2-40B4-BE49-F238E27FC236}">
              <a16:creationId xmlns:a16="http://schemas.microsoft.com/office/drawing/2014/main" id="{00000000-0008-0000-0400-00000F000000}"/>
            </a:ext>
          </a:extLst>
        </xdr:cNvPr>
        <xdr:cNvSpPr/>
      </xdr:nvSpPr>
      <xdr:spPr>
        <a:xfrm>
          <a:off x="8886825" y="28194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13</xdr:row>
      <xdr:rowOff>371475</xdr:rowOff>
    </xdr:from>
    <xdr:to>
      <xdr:col>18</xdr:col>
      <xdr:colOff>257175</xdr:colOff>
      <xdr:row>14</xdr:row>
      <xdr:rowOff>180975</xdr:rowOff>
    </xdr:to>
    <xdr:sp macro="" textlink="">
      <xdr:nvSpPr>
        <xdr:cNvPr id="16" name="Rectangle: Rounded Corners 34">
          <a:hlinkClick xmlns:r="http://schemas.openxmlformats.org/officeDocument/2006/relationships" r:id="rId14"/>
          <a:extLst>
            <a:ext uri="{FF2B5EF4-FFF2-40B4-BE49-F238E27FC236}">
              <a16:creationId xmlns:a16="http://schemas.microsoft.com/office/drawing/2014/main" id="{00000000-0008-0000-0400-000010000000}"/>
            </a:ext>
          </a:extLst>
        </xdr:cNvPr>
        <xdr:cNvSpPr/>
      </xdr:nvSpPr>
      <xdr:spPr>
        <a:xfrm>
          <a:off x="8886825" y="32385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14</xdr:row>
      <xdr:rowOff>333375</xdr:rowOff>
    </xdr:from>
    <xdr:to>
      <xdr:col>18</xdr:col>
      <xdr:colOff>266700</xdr:colOff>
      <xdr:row>15</xdr:row>
      <xdr:rowOff>142875</xdr:rowOff>
    </xdr:to>
    <xdr:sp macro="" textlink="">
      <xdr:nvSpPr>
        <xdr:cNvPr id="17" name="Rectangle: Rounded Corners 35">
          <a:hlinkClick xmlns:r="http://schemas.openxmlformats.org/officeDocument/2006/relationships" r:id="rId15"/>
          <a:extLst>
            <a:ext uri="{FF2B5EF4-FFF2-40B4-BE49-F238E27FC236}">
              <a16:creationId xmlns:a16="http://schemas.microsoft.com/office/drawing/2014/main" id="{00000000-0008-0000-0400-000011000000}"/>
            </a:ext>
          </a:extLst>
        </xdr:cNvPr>
        <xdr:cNvSpPr/>
      </xdr:nvSpPr>
      <xdr:spPr>
        <a:xfrm>
          <a:off x="8896350" y="3657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15</xdr:row>
      <xdr:rowOff>285750</xdr:rowOff>
    </xdr:from>
    <xdr:to>
      <xdr:col>16</xdr:col>
      <xdr:colOff>85725</xdr:colOff>
      <xdr:row>16</xdr:row>
      <xdr:rowOff>95250</xdr:rowOff>
    </xdr:to>
    <xdr:sp macro="" textlink="">
      <xdr:nvSpPr>
        <xdr:cNvPr id="18" name="Rectangle: Rounded Corners 36">
          <a:hlinkClick xmlns:r="http://schemas.openxmlformats.org/officeDocument/2006/relationships" r:id="rId16"/>
          <a:extLst>
            <a:ext uri="{FF2B5EF4-FFF2-40B4-BE49-F238E27FC236}">
              <a16:creationId xmlns:a16="http://schemas.microsoft.com/office/drawing/2014/main" id="{00000000-0008-0000-0400-000012000000}"/>
            </a:ext>
          </a:extLst>
        </xdr:cNvPr>
        <xdr:cNvSpPr/>
      </xdr:nvSpPr>
      <xdr:spPr>
        <a:xfrm>
          <a:off x="7496175" y="40671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276225</xdr:colOff>
      <xdr:row>5</xdr:row>
      <xdr:rowOff>28575</xdr:rowOff>
    </xdr:from>
    <xdr:to>
      <xdr:col>11</xdr:col>
      <xdr:colOff>247650</xdr:colOff>
      <xdr:row>5</xdr:row>
      <xdr:rowOff>38100</xdr:rowOff>
    </xdr:to>
    <xdr:cxnSp macro="">
      <xdr:nvCxnSpPr>
        <xdr:cNvPr id="19" name="Straight Connector 18">
          <a:extLst>
            <a:ext uri="{FF2B5EF4-FFF2-40B4-BE49-F238E27FC236}">
              <a16:creationId xmlns:a16="http://schemas.microsoft.com/office/drawing/2014/main" id="{00000000-0008-0000-0400-000013000000}"/>
            </a:ext>
          </a:extLst>
        </xdr:cNvPr>
        <xdr:cNvCxnSpPr/>
      </xdr:nvCxnSpPr>
      <xdr:spPr>
        <a:xfrm>
          <a:off x="3609975" y="103822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0</xdr:row>
      <xdr:rowOff>9525</xdr:rowOff>
    </xdr:from>
    <xdr:to>
      <xdr:col>13</xdr:col>
      <xdr:colOff>0</xdr:colOff>
      <xdr:row>3</xdr:row>
      <xdr:rowOff>47625</xdr:rowOff>
    </xdr:to>
    <xdr:sp macro="" textlink="">
      <xdr:nvSpPr>
        <xdr:cNvPr id="20" name="Text Box 1">
          <a:extLst>
            <a:ext uri="{FF2B5EF4-FFF2-40B4-BE49-F238E27FC236}">
              <a16:creationId xmlns:a16="http://schemas.microsoft.com/office/drawing/2014/main" id="{00000000-0008-0000-0400-000014000000}"/>
            </a:ext>
          </a:extLst>
        </xdr:cNvPr>
        <xdr:cNvSpPr txBox="1">
          <a:spLocks noChangeArrowheads="1"/>
        </xdr:cNvSpPr>
      </xdr:nvSpPr>
      <xdr:spPr bwMode="auto">
        <a:xfrm>
          <a:off x="4972050" y="9525"/>
          <a:ext cx="135367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TG6</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xdr:col>
      <xdr:colOff>0</xdr:colOff>
      <xdr:row>5</xdr:row>
      <xdr:rowOff>19050</xdr:rowOff>
    </xdr:from>
    <xdr:to>
      <xdr:col>4</xdr:col>
      <xdr:colOff>247650</xdr:colOff>
      <xdr:row>5</xdr:row>
      <xdr:rowOff>19050</xdr:rowOff>
    </xdr:to>
    <xdr:cxnSp macro="">
      <xdr:nvCxnSpPr>
        <xdr:cNvPr id="21" name="Straight Connector 20">
          <a:extLst>
            <a:ext uri="{FF2B5EF4-FFF2-40B4-BE49-F238E27FC236}">
              <a16:creationId xmlns:a16="http://schemas.microsoft.com/office/drawing/2014/main" id="{00000000-0008-0000-0400-000015000000}"/>
            </a:ext>
          </a:extLst>
        </xdr:cNvPr>
        <xdr:cNvCxnSpPr/>
      </xdr:nvCxnSpPr>
      <xdr:spPr>
        <a:xfrm>
          <a:off x="790575" y="1028700"/>
          <a:ext cx="8191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47625</xdr:colOff>
      <xdr:row>39</xdr:row>
      <xdr:rowOff>28575</xdr:rowOff>
    </xdr:from>
    <xdr:to>
      <xdr:col>2</xdr:col>
      <xdr:colOff>47625</xdr:colOff>
      <xdr:row>40</xdr:row>
      <xdr:rowOff>161925</xdr:rowOff>
    </xdr:to>
    <xdr:cxnSp macro="">
      <xdr:nvCxnSpPr>
        <xdr:cNvPr id="23" name="Straight Connector 22">
          <a:extLst>
            <a:ext uri="{FF2B5EF4-FFF2-40B4-BE49-F238E27FC236}">
              <a16:creationId xmlns:a16="http://schemas.microsoft.com/office/drawing/2014/main" id="{00000000-0008-0000-0400-000017000000}"/>
            </a:ext>
          </a:extLst>
        </xdr:cNvPr>
        <xdr:cNvCxnSpPr/>
      </xdr:nvCxnSpPr>
      <xdr:spPr>
        <a:xfrm>
          <a:off x="962025" y="10144125"/>
          <a:ext cx="0" cy="3714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1</xdr:row>
      <xdr:rowOff>0</xdr:rowOff>
    </xdr:from>
    <xdr:to>
      <xdr:col>13</xdr:col>
      <xdr:colOff>38100</xdr:colOff>
      <xdr:row>2</xdr:row>
      <xdr:rowOff>28575</xdr:rowOff>
    </xdr:to>
    <xdr:sp macro="" textlink="">
      <xdr:nvSpPr>
        <xdr:cNvPr id="2" name="Rectangle: Rounded Corners 19">
          <a:extLst>
            <a:ext uri="{FF2B5EF4-FFF2-40B4-BE49-F238E27FC236}">
              <a16:creationId xmlns:a16="http://schemas.microsoft.com/office/drawing/2014/main" id="{00000000-0008-0000-0500-000002000000}"/>
            </a:ext>
          </a:extLst>
        </xdr:cNvPr>
        <xdr:cNvSpPr/>
      </xdr:nvSpPr>
      <xdr:spPr>
        <a:xfrm>
          <a:off x="6848475" y="238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9525</xdr:colOff>
      <xdr:row>3</xdr:row>
      <xdr:rowOff>38100</xdr:rowOff>
    </xdr:from>
    <xdr:to>
      <xdr:col>13</xdr:col>
      <xdr:colOff>47625</xdr:colOff>
      <xdr:row>4</xdr:row>
      <xdr:rowOff>114300</xdr:rowOff>
    </xdr:to>
    <xdr:sp macro="" textlink="">
      <xdr:nvSpPr>
        <xdr:cNvPr id="3" name="Rectangle: Rounded Corners 20">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6858000" y="704850"/>
          <a:ext cx="1257300" cy="2095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5</xdr:row>
      <xdr:rowOff>9525</xdr:rowOff>
    </xdr:from>
    <xdr:to>
      <xdr:col>13</xdr:col>
      <xdr:colOff>57150</xdr:colOff>
      <xdr:row>6</xdr:row>
      <xdr:rowOff>38100</xdr:rowOff>
    </xdr:to>
    <xdr:sp macro="" textlink="">
      <xdr:nvSpPr>
        <xdr:cNvPr id="4" name="Rectangle: Rounded Corners 21">
          <a:hlinkClick xmlns:r="http://schemas.openxmlformats.org/officeDocument/2006/relationships" r:id="rId2"/>
          <a:extLst>
            <a:ext uri="{FF2B5EF4-FFF2-40B4-BE49-F238E27FC236}">
              <a16:creationId xmlns:a16="http://schemas.microsoft.com/office/drawing/2014/main" id="{00000000-0008-0000-0500-000004000000}"/>
            </a:ext>
          </a:extLst>
        </xdr:cNvPr>
        <xdr:cNvSpPr/>
      </xdr:nvSpPr>
      <xdr:spPr>
        <a:xfrm>
          <a:off x="6867525" y="104775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6</xdr:row>
      <xdr:rowOff>190500</xdr:rowOff>
    </xdr:from>
    <xdr:to>
      <xdr:col>13</xdr:col>
      <xdr:colOff>57150</xdr:colOff>
      <xdr:row>7</xdr:row>
      <xdr:rowOff>219075</xdr:rowOff>
    </xdr:to>
    <xdr:sp macro="" textlink="">
      <xdr:nvSpPr>
        <xdr:cNvPr id="5" name="Rectangle: Rounded Corners 22">
          <a:hlinkClick xmlns:r="http://schemas.openxmlformats.org/officeDocument/2006/relationships" r:id="rId3"/>
          <a:extLst>
            <a:ext uri="{FF2B5EF4-FFF2-40B4-BE49-F238E27FC236}">
              <a16:creationId xmlns:a16="http://schemas.microsoft.com/office/drawing/2014/main" id="{00000000-0008-0000-0500-000005000000}"/>
            </a:ext>
          </a:extLst>
        </xdr:cNvPr>
        <xdr:cNvSpPr/>
      </xdr:nvSpPr>
      <xdr:spPr>
        <a:xfrm>
          <a:off x="6867525" y="146685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7</xdr:row>
      <xdr:rowOff>390525</xdr:rowOff>
    </xdr:from>
    <xdr:to>
      <xdr:col>13</xdr:col>
      <xdr:colOff>57150</xdr:colOff>
      <xdr:row>8</xdr:row>
      <xdr:rowOff>219075</xdr:rowOff>
    </xdr:to>
    <xdr:sp macro="" textlink="">
      <xdr:nvSpPr>
        <xdr:cNvPr id="6" name="Rectangle: Rounded Corners 23">
          <a:hlinkClick xmlns:r="http://schemas.openxmlformats.org/officeDocument/2006/relationships" r:id="rId4"/>
          <a:extLst>
            <a:ext uri="{FF2B5EF4-FFF2-40B4-BE49-F238E27FC236}">
              <a16:creationId xmlns:a16="http://schemas.microsoft.com/office/drawing/2014/main" id="{00000000-0008-0000-0500-000006000000}"/>
            </a:ext>
          </a:extLst>
        </xdr:cNvPr>
        <xdr:cNvSpPr/>
      </xdr:nvSpPr>
      <xdr:spPr>
        <a:xfrm>
          <a:off x="6867525" y="190500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8</xdr:row>
      <xdr:rowOff>371475</xdr:rowOff>
    </xdr:from>
    <xdr:to>
      <xdr:col>13</xdr:col>
      <xdr:colOff>57150</xdr:colOff>
      <xdr:row>9</xdr:row>
      <xdr:rowOff>161925</xdr:rowOff>
    </xdr:to>
    <xdr:sp macro="" textlink="">
      <xdr:nvSpPr>
        <xdr:cNvPr id="7" name="Rectangle: Rounded Corners 24">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6867525" y="2324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10</xdr:row>
      <xdr:rowOff>76200</xdr:rowOff>
    </xdr:from>
    <xdr:to>
      <xdr:col>13</xdr:col>
      <xdr:colOff>57150</xdr:colOff>
      <xdr:row>11</xdr:row>
      <xdr:rowOff>104775</xdr:rowOff>
    </xdr:to>
    <xdr:sp macro="" textlink="">
      <xdr:nvSpPr>
        <xdr:cNvPr id="8" name="Rectangle: Rounded Corners 25">
          <a:hlinkClick xmlns:r="http://schemas.openxmlformats.org/officeDocument/2006/relationships" r:id="rId6"/>
          <a:extLst>
            <a:ext uri="{FF2B5EF4-FFF2-40B4-BE49-F238E27FC236}">
              <a16:creationId xmlns:a16="http://schemas.microsoft.com/office/drawing/2014/main" id="{00000000-0008-0000-0500-000008000000}"/>
            </a:ext>
          </a:extLst>
        </xdr:cNvPr>
        <xdr:cNvSpPr/>
      </xdr:nvSpPr>
      <xdr:spPr>
        <a:xfrm>
          <a:off x="6867525" y="27432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28575</xdr:colOff>
      <xdr:row>12</xdr:row>
      <xdr:rowOff>19050</xdr:rowOff>
    </xdr:from>
    <xdr:to>
      <xdr:col>13</xdr:col>
      <xdr:colOff>66675</xdr:colOff>
      <xdr:row>13</xdr:row>
      <xdr:rowOff>47625</xdr:rowOff>
    </xdr:to>
    <xdr:sp macro="" textlink="">
      <xdr:nvSpPr>
        <xdr:cNvPr id="9" name="Rectangle: Rounded Corners 26">
          <a:hlinkClick xmlns:r="http://schemas.openxmlformats.org/officeDocument/2006/relationships" r:id="rId7"/>
          <a:extLst>
            <a:ext uri="{FF2B5EF4-FFF2-40B4-BE49-F238E27FC236}">
              <a16:creationId xmlns:a16="http://schemas.microsoft.com/office/drawing/2014/main" id="{00000000-0008-0000-0500-000009000000}"/>
            </a:ext>
          </a:extLst>
        </xdr:cNvPr>
        <xdr:cNvSpPr/>
      </xdr:nvSpPr>
      <xdr:spPr>
        <a:xfrm>
          <a:off x="6877050" y="3162300"/>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200025</xdr:colOff>
      <xdr:row>1</xdr:row>
      <xdr:rowOff>9525</xdr:rowOff>
    </xdr:from>
    <xdr:to>
      <xdr:col>15</xdr:col>
      <xdr:colOff>238125</xdr:colOff>
      <xdr:row>2</xdr:row>
      <xdr:rowOff>38100</xdr:rowOff>
    </xdr:to>
    <xdr:sp macro="" textlink="">
      <xdr:nvSpPr>
        <xdr:cNvPr id="10" name="Rectangle: Rounded Corners 27">
          <a:hlinkClick xmlns:r="http://schemas.openxmlformats.org/officeDocument/2006/relationships" r:id="rId8"/>
          <a:extLst>
            <a:ext uri="{FF2B5EF4-FFF2-40B4-BE49-F238E27FC236}">
              <a16:creationId xmlns:a16="http://schemas.microsoft.com/office/drawing/2014/main" id="{00000000-0008-0000-0500-00000A000000}"/>
            </a:ext>
          </a:extLst>
        </xdr:cNvPr>
        <xdr:cNvSpPr/>
      </xdr:nvSpPr>
      <xdr:spPr>
        <a:xfrm>
          <a:off x="8267700" y="2476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209550</xdr:colOff>
      <xdr:row>3</xdr:row>
      <xdr:rowOff>47625</xdr:rowOff>
    </xdr:from>
    <xdr:to>
      <xdr:col>15</xdr:col>
      <xdr:colOff>247650</xdr:colOff>
      <xdr:row>4</xdr:row>
      <xdr:rowOff>123825</xdr:rowOff>
    </xdr:to>
    <xdr:sp macro="" textlink="">
      <xdr:nvSpPr>
        <xdr:cNvPr id="11" name="Rectangle: Rounded Corners 28">
          <a:hlinkClick xmlns:r="http://schemas.openxmlformats.org/officeDocument/2006/relationships" r:id="rId9"/>
          <a:extLst>
            <a:ext uri="{FF2B5EF4-FFF2-40B4-BE49-F238E27FC236}">
              <a16:creationId xmlns:a16="http://schemas.microsoft.com/office/drawing/2014/main" id="{00000000-0008-0000-0500-00000B000000}"/>
            </a:ext>
          </a:extLst>
        </xdr:cNvPr>
        <xdr:cNvSpPr/>
      </xdr:nvSpPr>
      <xdr:spPr>
        <a:xfrm>
          <a:off x="8277225" y="714375"/>
          <a:ext cx="1257300" cy="20955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5</xdr:row>
      <xdr:rowOff>19050</xdr:rowOff>
    </xdr:from>
    <xdr:to>
      <xdr:col>15</xdr:col>
      <xdr:colOff>257175</xdr:colOff>
      <xdr:row>6</xdr:row>
      <xdr:rowOff>47625</xdr:rowOff>
    </xdr:to>
    <xdr:sp macro="" textlink="">
      <xdr:nvSpPr>
        <xdr:cNvPr id="12" name="Rectangle: Rounded Corners 29">
          <a:hlinkClick xmlns:r="http://schemas.openxmlformats.org/officeDocument/2006/relationships" r:id="rId10"/>
          <a:extLst>
            <a:ext uri="{FF2B5EF4-FFF2-40B4-BE49-F238E27FC236}">
              <a16:creationId xmlns:a16="http://schemas.microsoft.com/office/drawing/2014/main" id="{00000000-0008-0000-0500-00000C000000}"/>
            </a:ext>
          </a:extLst>
        </xdr:cNvPr>
        <xdr:cNvSpPr/>
      </xdr:nvSpPr>
      <xdr:spPr>
        <a:xfrm>
          <a:off x="8286750" y="1057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6</xdr:row>
      <xdr:rowOff>200025</xdr:rowOff>
    </xdr:from>
    <xdr:to>
      <xdr:col>15</xdr:col>
      <xdr:colOff>257175</xdr:colOff>
      <xdr:row>7</xdr:row>
      <xdr:rowOff>228600</xdr:rowOff>
    </xdr:to>
    <xdr:sp macro="" textlink="">
      <xdr:nvSpPr>
        <xdr:cNvPr id="13" name="Rectangle: Rounded Corners 30">
          <a:hlinkClick xmlns:r="http://schemas.openxmlformats.org/officeDocument/2006/relationships" r:id="rId11"/>
          <a:extLst>
            <a:ext uri="{FF2B5EF4-FFF2-40B4-BE49-F238E27FC236}">
              <a16:creationId xmlns:a16="http://schemas.microsoft.com/office/drawing/2014/main" id="{00000000-0008-0000-0500-00000D000000}"/>
            </a:ext>
          </a:extLst>
        </xdr:cNvPr>
        <xdr:cNvSpPr/>
      </xdr:nvSpPr>
      <xdr:spPr>
        <a:xfrm>
          <a:off x="8286750" y="14763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7</xdr:row>
      <xdr:rowOff>400050</xdr:rowOff>
    </xdr:from>
    <xdr:to>
      <xdr:col>15</xdr:col>
      <xdr:colOff>257175</xdr:colOff>
      <xdr:row>8</xdr:row>
      <xdr:rowOff>228600</xdr:rowOff>
    </xdr:to>
    <xdr:sp macro="" textlink="">
      <xdr:nvSpPr>
        <xdr:cNvPr id="14" name="Rectangle: Rounded Corners 31">
          <a:hlinkClick xmlns:r="http://schemas.openxmlformats.org/officeDocument/2006/relationships" r:id="rId12"/>
          <a:extLst>
            <a:ext uri="{FF2B5EF4-FFF2-40B4-BE49-F238E27FC236}">
              <a16:creationId xmlns:a16="http://schemas.microsoft.com/office/drawing/2014/main" id="{00000000-0008-0000-0500-00000E000000}"/>
            </a:ext>
          </a:extLst>
        </xdr:cNvPr>
        <xdr:cNvSpPr/>
      </xdr:nvSpPr>
      <xdr:spPr>
        <a:xfrm>
          <a:off x="8286750" y="1914525"/>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8</xdr:row>
      <xdr:rowOff>381000</xdr:rowOff>
    </xdr:from>
    <xdr:to>
      <xdr:col>15</xdr:col>
      <xdr:colOff>257175</xdr:colOff>
      <xdr:row>9</xdr:row>
      <xdr:rowOff>171450</xdr:rowOff>
    </xdr:to>
    <xdr:sp macro="" textlink="">
      <xdr:nvSpPr>
        <xdr:cNvPr id="15" name="Rectangle: Rounded Corners 32">
          <a:hlinkClick xmlns:r="http://schemas.openxmlformats.org/officeDocument/2006/relationships" r:id="rId13"/>
          <a:extLst>
            <a:ext uri="{FF2B5EF4-FFF2-40B4-BE49-F238E27FC236}">
              <a16:creationId xmlns:a16="http://schemas.microsoft.com/office/drawing/2014/main" id="{00000000-0008-0000-0500-00000F000000}"/>
            </a:ext>
          </a:extLst>
        </xdr:cNvPr>
        <xdr:cNvSpPr/>
      </xdr:nvSpPr>
      <xdr:spPr>
        <a:xfrm>
          <a:off x="8286750" y="233362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10</xdr:row>
      <xdr:rowOff>85725</xdr:rowOff>
    </xdr:from>
    <xdr:to>
      <xdr:col>15</xdr:col>
      <xdr:colOff>257175</xdr:colOff>
      <xdr:row>11</xdr:row>
      <xdr:rowOff>114300</xdr:rowOff>
    </xdr:to>
    <xdr:sp macro="" textlink="">
      <xdr:nvSpPr>
        <xdr:cNvPr id="16" name="Rectangle: Rounded Corners 33">
          <a:hlinkClick xmlns:r="http://schemas.openxmlformats.org/officeDocument/2006/relationships" r:id="rId14"/>
          <a:extLst>
            <a:ext uri="{FF2B5EF4-FFF2-40B4-BE49-F238E27FC236}">
              <a16:creationId xmlns:a16="http://schemas.microsoft.com/office/drawing/2014/main" id="{00000000-0008-0000-0500-000010000000}"/>
            </a:ext>
          </a:extLst>
        </xdr:cNvPr>
        <xdr:cNvSpPr/>
      </xdr:nvSpPr>
      <xdr:spPr>
        <a:xfrm>
          <a:off x="8286750" y="275272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228600</xdr:colOff>
      <xdr:row>12</xdr:row>
      <xdr:rowOff>28575</xdr:rowOff>
    </xdr:from>
    <xdr:to>
      <xdr:col>15</xdr:col>
      <xdr:colOff>266700</xdr:colOff>
      <xdr:row>13</xdr:row>
      <xdr:rowOff>57150</xdr:rowOff>
    </xdr:to>
    <xdr:sp macro="" textlink="">
      <xdr:nvSpPr>
        <xdr:cNvPr id="17" name="Rectangle: Rounded Corners 34">
          <a:hlinkClick xmlns:r="http://schemas.openxmlformats.org/officeDocument/2006/relationships" r:id="rId15"/>
          <a:extLst>
            <a:ext uri="{FF2B5EF4-FFF2-40B4-BE49-F238E27FC236}">
              <a16:creationId xmlns:a16="http://schemas.microsoft.com/office/drawing/2014/main" id="{00000000-0008-0000-0500-000011000000}"/>
            </a:ext>
          </a:extLst>
        </xdr:cNvPr>
        <xdr:cNvSpPr/>
      </xdr:nvSpPr>
      <xdr:spPr>
        <a:xfrm>
          <a:off x="8296275" y="31718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47625</xdr:colOff>
      <xdr:row>13</xdr:row>
      <xdr:rowOff>200025</xdr:rowOff>
    </xdr:from>
    <xdr:to>
      <xdr:col>13</xdr:col>
      <xdr:colOff>85725</xdr:colOff>
      <xdr:row>14</xdr:row>
      <xdr:rowOff>228600</xdr:rowOff>
    </xdr:to>
    <xdr:sp macro="" textlink="">
      <xdr:nvSpPr>
        <xdr:cNvPr id="18" name="Rectangle: Rounded Corners 35">
          <a:hlinkClick xmlns:r="http://schemas.openxmlformats.org/officeDocument/2006/relationships" r:id="rId16"/>
          <a:extLst>
            <a:ext uri="{FF2B5EF4-FFF2-40B4-BE49-F238E27FC236}">
              <a16:creationId xmlns:a16="http://schemas.microsoft.com/office/drawing/2014/main" id="{00000000-0008-0000-0500-000012000000}"/>
            </a:ext>
          </a:extLst>
        </xdr:cNvPr>
        <xdr:cNvSpPr/>
      </xdr:nvSpPr>
      <xdr:spPr>
        <a:xfrm>
          <a:off x="6896100" y="3581400"/>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314325</xdr:colOff>
      <xdr:row>2</xdr:row>
      <xdr:rowOff>19050</xdr:rowOff>
    </xdr:from>
    <xdr:to>
      <xdr:col>6</xdr:col>
      <xdr:colOff>257175</xdr:colOff>
      <xdr:row>2</xdr:row>
      <xdr:rowOff>28575</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2219325" y="495300"/>
          <a:ext cx="150495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666750</xdr:colOff>
      <xdr:row>0</xdr:row>
      <xdr:rowOff>19050</xdr:rowOff>
    </xdr:from>
    <xdr:to>
      <xdr:col>10</xdr:col>
      <xdr:colOff>191624</xdr:colOff>
      <xdr:row>2</xdr:row>
      <xdr:rowOff>152400</xdr:rowOff>
    </xdr:to>
    <xdr:sp macro="" textlink="">
      <xdr:nvSpPr>
        <xdr:cNvPr id="20" name="Text Box 1">
          <a:extLst>
            <a:ext uri="{FF2B5EF4-FFF2-40B4-BE49-F238E27FC236}">
              <a16:creationId xmlns:a16="http://schemas.microsoft.com/office/drawing/2014/main" id="{00000000-0008-0000-0500-000014000000}"/>
            </a:ext>
          </a:extLst>
        </xdr:cNvPr>
        <xdr:cNvSpPr txBox="1">
          <a:spLocks noChangeArrowheads="1"/>
        </xdr:cNvSpPr>
      </xdr:nvSpPr>
      <xdr:spPr bwMode="auto">
        <a:xfrm>
          <a:off x="4829175" y="19050"/>
          <a:ext cx="160132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76200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85725</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4</xdr:row>
      <xdr:rowOff>228600</xdr:rowOff>
    </xdr:from>
    <xdr:to>
      <xdr:col>3</xdr:col>
      <xdr:colOff>276225</xdr:colOff>
      <xdr:row>4</xdr:row>
      <xdr:rowOff>228600</xdr:rowOff>
    </xdr:to>
    <xdr:cxnSp macro="">
      <xdr:nvCxnSpPr>
        <xdr:cNvPr id="19" name="Straight Connector 18">
          <a:extLst>
            <a:ext uri="{FF2B5EF4-FFF2-40B4-BE49-F238E27FC236}">
              <a16:creationId xmlns:a16="http://schemas.microsoft.com/office/drawing/2014/main" id="{00000000-0008-0000-06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5</xdr:row>
      <xdr:rowOff>9525</xdr:rowOff>
    </xdr:from>
    <xdr:to>
      <xdr:col>8</xdr:col>
      <xdr:colOff>352425</xdr:colOff>
      <xdr:row>5</xdr:row>
      <xdr:rowOff>19050</xdr:rowOff>
    </xdr:to>
    <xdr:cxnSp macro="">
      <xdr:nvCxnSpPr>
        <xdr:cNvPr id="20" name="Straight Connector 19">
          <a:extLst>
            <a:ext uri="{FF2B5EF4-FFF2-40B4-BE49-F238E27FC236}">
              <a16:creationId xmlns:a16="http://schemas.microsoft.com/office/drawing/2014/main" id="{00000000-0008-0000-06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0</xdr:rowOff>
    </xdr:from>
    <xdr:to>
      <xdr:col>9</xdr:col>
      <xdr:colOff>753599</xdr:colOff>
      <xdr:row>3</xdr:row>
      <xdr:rowOff>38100</xdr:rowOff>
    </xdr:to>
    <xdr:sp macro="" textlink="">
      <xdr:nvSpPr>
        <xdr:cNvPr id="21" name="Text Box 1">
          <a:extLst>
            <a:ext uri="{FF2B5EF4-FFF2-40B4-BE49-F238E27FC236}">
              <a16:creationId xmlns:a16="http://schemas.microsoft.com/office/drawing/2014/main" id="{00000000-0008-0000-0600-000015000000}"/>
            </a:ext>
          </a:extLst>
        </xdr:cNvPr>
        <xdr:cNvSpPr txBox="1">
          <a:spLocks noChangeArrowheads="1"/>
        </xdr:cNvSpPr>
      </xdr:nvSpPr>
      <xdr:spPr bwMode="auto">
        <a:xfrm>
          <a:off x="4800600" y="0"/>
          <a:ext cx="135367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6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6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6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6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6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542925</xdr:colOff>
      <xdr:row>30</xdr:row>
      <xdr:rowOff>76200</xdr:rowOff>
    </xdr:from>
    <xdr:to>
      <xdr:col>4</xdr:col>
      <xdr:colOff>237835</xdr:colOff>
      <xdr:row>34</xdr:row>
      <xdr:rowOff>66675</xdr:rowOff>
    </xdr:to>
    <xdr:pic>
      <xdr:nvPicPr>
        <xdr:cNvPr id="13" name="Picture 12" descr="z6643237854000_29774847381e07c8f48b94b49acc9acd">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542925" y="7143750"/>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685800</xdr:colOff>
      <xdr:row>29</xdr:row>
      <xdr:rowOff>152400</xdr:rowOff>
    </xdr:from>
    <xdr:to>
      <xdr:col>9</xdr:col>
      <xdr:colOff>143721</xdr:colOff>
      <xdr:row>34</xdr:row>
      <xdr:rowOff>76200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600450" y="7029450"/>
          <a:ext cx="1943946" cy="1066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2</xdr:row>
      <xdr:rowOff>76200</xdr:rowOff>
    </xdr:to>
    <xdr:sp macro="" textlink="">
      <xdr:nvSpPr>
        <xdr:cNvPr id="2" name="Rectangle: Rounded Corners 1">
          <a:extLst>
            <a:ext uri="{FF2B5EF4-FFF2-40B4-BE49-F238E27FC236}">
              <a16:creationId xmlns:a16="http://schemas.microsoft.com/office/drawing/2014/main" id="{00000000-0008-0000-07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0</xdr:colOff>
      <xdr:row>1</xdr:row>
      <xdr:rowOff>9525</xdr:rowOff>
    </xdr:from>
    <xdr:to>
      <xdr:col>8</xdr:col>
      <xdr:colOff>0</xdr:colOff>
      <xdr:row>2</xdr:row>
      <xdr:rowOff>85725</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1047750</xdr:colOff>
      <xdr:row>5</xdr:row>
      <xdr:rowOff>47625</xdr:rowOff>
    </xdr:from>
    <xdr:to>
      <xdr:col>5</xdr:col>
      <xdr:colOff>552450</xdr:colOff>
      <xdr:row>5</xdr:row>
      <xdr:rowOff>57150</xdr:rowOff>
    </xdr:to>
    <xdr:cxnSp macro="">
      <xdr:nvCxnSpPr>
        <xdr:cNvPr id="19" name="Straight Connector 18">
          <a:extLst>
            <a:ext uri="{FF2B5EF4-FFF2-40B4-BE49-F238E27FC236}">
              <a16:creationId xmlns:a16="http://schemas.microsoft.com/office/drawing/2014/main" id="{00000000-0008-0000-0700-000013000000}"/>
            </a:ext>
          </a:extLst>
        </xdr:cNvPr>
        <xdr:cNvCxnSpPr/>
      </xdr:nvCxnSpPr>
      <xdr:spPr>
        <a:xfrm>
          <a:off x="3657600" y="1009650"/>
          <a:ext cx="19812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96374</xdr:colOff>
      <xdr:row>2</xdr:row>
      <xdr:rowOff>104775</xdr:rowOff>
    </xdr:to>
    <xdr:sp macro="" textlink="">
      <xdr:nvSpPr>
        <xdr:cNvPr id="20" name="Text Box 1">
          <a:extLst>
            <a:ext uri="{FF2B5EF4-FFF2-40B4-BE49-F238E27FC236}">
              <a16:creationId xmlns:a16="http://schemas.microsoft.com/office/drawing/2014/main" id="{00000000-0008-0000-07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xdr:col>
      <xdr:colOff>323850</xdr:colOff>
      <xdr:row>5</xdr:row>
      <xdr:rowOff>28575</xdr:rowOff>
    </xdr:from>
    <xdr:to>
      <xdr:col>2</xdr:col>
      <xdr:colOff>1647825</xdr:colOff>
      <xdr:row>5</xdr:row>
      <xdr:rowOff>28575</xdr:rowOff>
    </xdr:to>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457200" y="990600"/>
          <a:ext cx="16668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44</xdr:row>
      <xdr:rowOff>180975</xdr:rowOff>
    </xdr:from>
    <xdr:to>
      <xdr:col>2</xdr:col>
      <xdr:colOff>1533525</xdr:colOff>
      <xdr:row>47</xdr:row>
      <xdr:rowOff>38100</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44</xdr:row>
      <xdr:rowOff>171450</xdr:rowOff>
    </xdr:from>
    <xdr:to>
      <xdr:col>7</xdr:col>
      <xdr:colOff>133350</xdr:colOff>
      <xdr:row>47</xdr:row>
      <xdr:rowOff>123825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44</xdr:row>
      <xdr:rowOff>161925</xdr:rowOff>
    </xdr:from>
    <xdr:to>
      <xdr:col>3</xdr:col>
      <xdr:colOff>1552575</xdr:colOff>
      <xdr:row>47</xdr:row>
      <xdr:rowOff>19050</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50</xdr:row>
      <xdr:rowOff>171449</xdr:rowOff>
    </xdr:from>
    <xdr:to>
      <xdr:col>3</xdr:col>
      <xdr:colOff>1466850</xdr:colOff>
      <xdr:row>52</xdr:row>
      <xdr:rowOff>47624</xdr:rowOff>
    </xdr:to>
    <xdr:sp macro="" textlink="">
      <xdr:nvSpPr>
        <xdr:cNvPr id="25" name="TextBox 24">
          <a:extLst>
            <a:ext uri="{FF2B5EF4-FFF2-40B4-BE49-F238E27FC236}">
              <a16:creationId xmlns:a16="http://schemas.microsoft.com/office/drawing/2014/main" id="{00000000-0008-0000-07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50</xdr:row>
      <xdr:rowOff>180975</xdr:rowOff>
    </xdr:from>
    <xdr:to>
      <xdr:col>2</xdr:col>
      <xdr:colOff>1704975</xdr:colOff>
      <xdr:row>52</xdr:row>
      <xdr:rowOff>47625</xdr:rowOff>
    </xdr:to>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46</xdr:row>
          <xdr:rowOff>123825</xdr:rowOff>
        </xdr:from>
        <xdr:to>
          <xdr:col>3</xdr:col>
          <xdr:colOff>1209675</xdr:colOff>
          <xdr:row>51</xdr:row>
          <xdr:rowOff>19050</xdr:rowOff>
        </xdr:to>
        <xdr:sp macro="" textlink="">
          <xdr:nvSpPr>
            <xdr:cNvPr id="44033" name="Object 1"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8</xdr:col>
      <xdr:colOff>123825</xdr:colOff>
      <xdr:row>3</xdr:row>
      <xdr:rowOff>66675</xdr:rowOff>
    </xdr:from>
    <xdr:to>
      <xdr:col>10</xdr:col>
      <xdr:colOff>161925</xdr:colOff>
      <xdr:row>4</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id="{00000000-0008-0000-07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133350</xdr:colOff>
      <xdr:row>13</xdr:row>
      <xdr:rowOff>66675</xdr:rowOff>
    </xdr:from>
    <xdr:to>
      <xdr:col>10</xdr:col>
      <xdr:colOff>171450</xdr:colOff>
      <xdr:row>14</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id="{00000000-0008-0000-07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323850</xdr:colOff>
      <xdr:row>3</xdr:row>
      <xdr:rowOff>76200</xdr:rowOff>
    </xdr:from>
    <xdr:to>
      <xdr:col>12</xdr:col>
      <xdr:colOff>361950</xdr:colOff>
      <xdr:row>4</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id="{00000000-0008-0000-07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333375</xdr:colOff>
      <xdr:row>7</xdr:row>
      <xdr:rowOff>57150</xdr:rowOff>
    </xdr:from>
    <xdr:to>
      <xdr:col>12</xdr:col>
      <xdr:colOff>371475</xdr:colOff>
      <xdr:row>8</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id="{00000000-0008-0000-07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342900</xdr:colOff>
      <xdr:row>15</xdr:row>
      <xdr:rowOff>76200</xdr:rowOff>
    </xdr:from>
    <xdr:to>
      <xdr:col>12</xdr:col>
      <xdr:colOff>381000</xdr:colOff>
      <xdr:row>16</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id="{00000000-0008-0000-07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142876</xdr:colOff>
      <xdr:row>47</xdr:row>
      <xdr:rowOff>19050</xdr:rowOff>
    </xdr:from>
    <xdr:to>
      <xdr:col>2</xdr:col>
      <xdr:colOff>1876136</xdr:colOff>
      <xdr:row>51</xdr:row>
      <xdr:rowOff>9525</xdr:rowOff>
    </xdr:to>
    <xdr:pic>
      <xdr:nvPicPr>
        <xdr:cNvPr id="27" name="Picture 26" descr="z6643237854000_29774847381e07c8f48b94b49acc9acd">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276226" y="21536025"/>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352425</xdr:colOff>
      <xdr:row>46</xdr:row>
      <xdr:rowOff>171450</xdr:rowOff>
    </xdr:from>
    <xdr:to>
      <xdr:col>8</xdr:col>
      <xdr:colOff>119746</xdr:colOff>
      <xdr:row>51</xdr:row>
      <xdr:rowOff>37696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695825" y="21450300"/>
          <a:ext cx="2291446" cy="10568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5</xdr:row>
      <xdr:rowOff>9525</xdr:rowOff>
    </xdr:from>
    <xdr:to>
      <xdr:col>3</xdr:col>
      <xdr:colOff>200025</xdr:colOff>
      <xdr:row>5</xdr:row>
      <xdr:rowOff>9525</xdr:rowOff>
    </xdr:to>
    <xdr:sp macro="" textlink="">
      <xdr:nvSpPr>
        <xdr:cNvPr id="4" name="Line 1">
          <a:extLst>
            <a:ext uri="{FF2B5EF4-FFF2-40B4-BE49-F238E27FC236}">
              <a16:creationId xmlns:a16="http://schemas.microsoft.com/office/drawing/2014/main" id="{00000000-0008-0000-08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8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8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8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8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8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8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8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95250</xdr:colOff>
      <xdr:row>30</xdr:row>
      <xdr:rowOff>190500</xdr:rowOff>
    </xdr:from>
    <xdr:to>
      <xdr:col>9</xdr:col>
      <xdr:colOff>742660</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90925" y="8001000"/>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104775</xdr:colOff>
      <xdr:row>73</xdr:row>
      <xdr:rowOff>9525</xdr:rowOff>
    </xdr:from>
    <xdr:to>
      <xdr:col>9</xdr:col>
      <xdr:colOff>1217855</xdr:colOff>
      <xdr:row>77</xdr:row>
      <xdr:rowOff>229379</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00450" y="18726150"/>
          <a:ext cx="2541830" cy="117235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ctr" upright="1"/>
        <a:lstStyle/>
        <a:p>
          <a:pPr algn="ctr" rtl="0"/>
          <a:r>
            <a:rPr lang="en-US" sz="800" b="0" i="0" baseline="0">
              <a:effectLst/>
              <a:latin typeface="Times New Roman" panose="02020603050405020304" pitchFamily="18" charset="0"/>
              <a:ea typeface="+mn-ea"/>
              <a:cs typeface="Times New Roman" panose="02020603050405020304" pitchFamily="18" charset="0"/>
            </a:rPr>
            <a:t>MẪU  B1</a:t>
          </a:r>
          <a:endParaRPr lang="vi-VN" sz="800">
            <a:effectLst/>
            <a:latin typeface="Times New Roman" panose="02020603050405020304" pitchFamily="18" charset="0"/>
            <a:cs typeface="Times New Roman" panose="02020603050405020304" pitchFamily="18" charset="0"/>
          </a:endParaRPr>
        </a:p>
        <a:p>
          <a:pPr algn="ctr" rtl="0"/>
          <a:r>
            <a:rPr lang="en-US" sz="800" b="0" i="0" baseline="0">
              <a:effectLst/>
              <a:latin typeface="Times New Roman" panose="02020603050405020304" pitchFamily="18" charset="0"/>
              <a:ea typeface="+mn-ea"/>
              <a:cs typeface="Times New Roman" panose="02020603050405020304" pitchFamily="18" charset="0"/>
            </a:rPr>
            <a:t>BH theo TT số 44/2025TT-BCA</a:t>
          </a:r>
          <a:endParaRPr lang="vi-VN" sz="800">
            <a:effectLst/>
            <a:latin typeface="Times New Roman" panose="02020603050405020304" pitchFamily="18" charset="0"/>
            <a:cs typeface="Times New Roman" panose="02020603050405020304" pitchFamily="18" charset="0"/>
          </a:endParaRPr>
        </a:p>
        <a:p>
          <a:pPr algn="ctr" rtl="0"/>
          <a:r>
            <a:rPr lang="en-US" sz="800" b="0" i="0" baseline="0">
              <a:effectLst/>
              <a:latin typeface="Times New Roman" panose="02020603050405020304" pitchFamily="18" charset="0"/>
              <a:ea typeface="+mn-ea"/>
              <a:cs typeface="Times New Roman" panose="02020603050405020304" pitchFamily="18" charset="0"/>
            </a:rPr>
            <a:t>Ngày 18/6/2025</a:t>
          </a:r>
          <a:endParaRPr lang="vi-VN" sz="800">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id="{00000000-0008-0000-09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9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9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9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9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9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9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9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23.%20TG,TG/M&#7899;i/Dao%20Duy%20Tuy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o doi CPM"/>
      <sheetName val="ĐK"/>
      <sheetName val="Bia"/>
      <sheetName val="B3.TKHS"/>
      <sheetName val="TTCHUNG"/>
      <sheetName val="a2"/>
      <sheetName val="a3"/>
      <sheetName val="Tom"/>
      <sheetName val="B1.LAPHS-GS"/>
      <sheetName val="B1.2.Kthuc GS"/>
      <sheetName val="B1.LAPHS-GP"/>
      <sheetName val="B1.2.Kthuc GP"/>
      <sheetName val="TG31"/>
      <sheetName val="K.TRA"/>
      <sheetName val="1.TG4.SK"/>
      <sheetName val="2.TG1.GNhan"/>
      <sheetName val="3.TG5.PhBien"/>
      <sheetName val="ĐxBTGGiu"/>
      <sheetName val="ĐxBTGGiam"/>
      <sheetName val="ĐxBTGGiamTHA"/>
      <sheetName val="4.TG6.GG1"/>
      <sheetName val="TG6.GG2"/>
      <sheetName val="TG6.GG2THA"/>
      <sheetName val="TB Tgiu"/>
      <sheetName val="TB GHTgiu"/>
      <sheetName val="TB Tgiam"/>
      <sheetName val="TB Tgiam (2)"/>
      <sheetName val="TB TgiamVKS"/>
      <sheetName val="TB TgiamVKS (2)"/>
      <sheetName val="TB TgiamTAND"/>
      <sheetName val="PC22-TGIU"/>
      <sheetName val="PC22-TGIAM"/>
      <sheetName val="TG19.LTX"/>
      <sheetName val="5.NX1"/>
      <sheetName val="5.NX2"/>
      <sheetName val="5.NX 3"/>
      <sheetName val="TONGDAT"/>
      <sheetName val="TG20.DC"/>
      <sheetName val="B9. BGHS"/>
      <sheetName val="GN(CAT)"/>
      <sheetName val="GG(CAT)"/>
    </sheetNames>
    <sheetDataSet>
      <sheetData sheetId="0"/>
      <sheetData sheetId="1"/>
      <sheetData sheetId="2"/>
      <sheetData sheetId="3"/>
      <sheetData sheetId="4">
        <row r="16">
          <cell r="C16">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16" t="s">
        <v>82</v>
      </c>
      <c r="B1" s="116"/>
      <c r="C1" s="116"/>
      <c r="D1" s="116"/>
      <c r="E1" s="116"/>
      <c r="F1" s="116"/>
      <c r="G1" s="116"/>
    </row>
    <row r="3" spans="1:7" s="3" customFormat="1" ht="64.5" x14ac:dyDescent="0.25">
      <c r="A3" s="66" t="s">
        <v>65</v>
      </c>
      <c r="B3" s="66" t="s">
        <v>71</v>
      </c>
      <c r="C3" s="67" t="s">
        <v>81</v>
      </c>
      <c r="D3" s="67" t="s">
        <v>86</v>
      </c>
      <c r="E3" s="67" t="s">
        <v>84</v>
      </c>
      <c r="F3" s="67" t="s">
        <v>85</v>
      </c>
      <c r="G3" s="67" t="s">
        <v>83</v>
      </c>
    </row>
    <row r="4" spans="1:7" ht="24.95" customHeight="1" x14ac:dyDescent="0.3">
      <c r="A4" s="61">
        <v>1</v>
      </c>
      <c r="B4" s="60"/>
      <c r="C4" s="60"/>
      <c r="D4" s="60"/>
      <c r="E4" s="60"/>
      <c r="F4" s="60"/>
      <c r="G4" s="60"/>
    </row>
    <row r="5" spans="1:7" ht="24.95" customHeight="1" x14ac:dyDescent="0.3">
      <c r="A5" s="62">
        <v>2</v>
      </c>
      <c r="B5" s="58"/>
      <c r="C5" s="58"/>
      <c r="D5" s="58"/>
      <c r="E5" s="58"/>
      <c r="F5" s="58"/>
      <c r="G5" s="58"/>
    </row>
    <row r="6" spans="1:7" ht="24.95" customHeight="1" x14ac:dyDescent="0.3">
      <c r="A6" s="61">
        <v>3</v>
      </c>
      <c r="B6" s="58"/>
      <c r="C6" s="58"/>
      <c r="D6" s="58"/>
      <c r="E6" s="58"/>
      <c r="F6" s="58"/>
      <c r="G6" s="58"/>
    </row>
    <row r="7" spans="1:7" ht="24.95" customHeight="1" x14ac:dyDescent="0.3">
      <c r="A7" s="62">
        <v>4</v>
      </c>
      <c r="B7" s="58"/>
      <c r="C7" s="58"/>
      <c r="D7" s="58"/>
      <c r="E7" s="58"/>
      <c r="F7" s="58"/>
      <c r="G7" s="58"/>
    </row>
    <row r="8" spans="1:7" ht="24.95" customHeight="1" x14ac:dyDescent="0.3">
      <c r="A8" s="61">
        <v>5</v>
      </c>
      <c r="B8" s="58"/>
      <c r="C8" s="58"/>
      <c r="D8" s="58"/>
      <c r="E8" s="58"/>
      <c r="F8" s="58"/>
      <c r="G8" s="58"/>
    </row>
    <row r="9" spans="1:7" ht="24.95" customHeight="1" x14ac:dyDescent="0.3">
      <c r="A9" s="62">
        <v>6</v>
      </c>
      <c r="B9" s="58"/>
      <c r="C9" s="58"/>
      <c r="D9" s="58"/>
      <c r="E9" s="58"/>
      <c r="F9" s="58"/>
      <c r="G9" s="58"/>
    </row>
    <row r="10" spans="1:7" ht="24.95" customHeight="1" x14ac:dyDescent="0.3">
      <c r="A10" s="61">
        <v>7</v>
      </c>
      <c r="B10" s="58"/>
      <c r="C10" s="58"/>
      <c r="D10" s="58"/>
      <c r="E10" s="58"/>
      <c r="F10" s="58"/>
      <c r="G10" s="58"/>
    </row>
    <row r="11" spans="1:7" ht="24.95" customHeight="1" x14ac:dyDescent="0.3">
      <c r="A11" s="62">
        <v>8</v>
      </c>
      <c r="B11" s="58"/>
      <c r="C11" s="58"/>
      <c r="D11" s="58"/>
      <c r="E11" s="58"/>
      <c r="F11" s="58"/>
      <c r="G11" s="58"/>
    </row>
    <row r="12" spans="1:7" ht="24.95" customHeight="1" x14ac:dyDescent="0.3">
      <c r="A12" s="61">
        <v>9</v>
      </c>
      <c r="B12" s="58"/>
      <c r="C12" s="58"/>
      <c r="D12" s="58"/>
      <c r="E12" s="58"/>
      <c r="F12" s="58"/>
      <c r="G12" s="58"/>
    </row>
    <row r="13" spans="1:7" ht="24.95" customHeight="1" x14ac:dyDescent="0.3">
      <c r="A13" s="62">
        <v>10</v>
      </c>
      <c r="B13" s="58"/>
      <c r="C13" s="58"/>
      <c r="D13" s="58"/>
      <c r="E13" s="58"/>
      <c r="F13" s="58"/>
      <c r="G13" s="58"/>
    </row>
    <row r="14" spans="1:7" ht="24.95" customHeight="1" x14ac:dyDescent="0.3">
      <c r="A14" s="61">
        <v>11</v>
      </c>
      <c r="B14" s="58"/>
      <c r="C14" s="58"/>
      <c r="D14" s="58"/>
      <c r="E14" s="58"/>
      <c r="F14" s="58"/>
      <c r="G14" s="58"/>
    </row>
    <row r="15" spans="1:7" ht="24.95" customHeight="1" x14ac:dyDescent="0.3">
      <c r="A15" s="62">
        <v>12</v>
      </c>
      <c r="B15" s="58"/>
      <c r="C15" s="58"/>
      <c r="D15" s="58"/>
      <c r="E15" s="58"/>
      <c r="F15" s="58"/>
      <c r="G15" s="58"/>
    </row>
    <row r="16" spans="1:7" ht="24.95" customHeight="1" x14ac:dyDescent="0.3">
      <c r="A16" s="61">
        <v>13</v>
      </c>
      <c r="B16" s="58"/>
      <c r="C16" s="58"/>
      <c r="D16" s="58"/>
      <c r="E16" s="58"/>
      <c r="F16" s="58"/>
      <c r="G16" s="58"/>
    </row>
    <row r="17" spans="1:7" ht="24.95" customHeight="1" x14ac:dyDescent="0.3">
      <c r="A17" s="62">
        <v>14</v>
      </c>
      <c r="B17" s="58"/>
      <c r="C17" s="58"/>
      <c r="D17" s="58"/>
      <c r="E17" s="58"/>
      <c r="F17" s="58"/>
      <c r="G17" s="58"/>
    </row>
    <row r="18" spans="1:7" ht="24.95" customHeight="1" x14ac:dyDescent="0.3">
      <c r="A18" s="61">
        <v>15</v>
      </c>
      <c r="B18" s="58"/>
      <c r="C18" s="58"/>
      <c r="D18" s="58"/>
      <c r="E18" s="58"/>
      <c r="F18" s="58"/>
      <c r="G18" s="58"/>
    </row>
    <row r="19" spans="1:7" ht="24.95" customHeight="1" x14ac:dyDescent="0.3">
      <c r="A19" s="62">
        <v>16</v>
      </c>
      <c r="B19" s="58"/>
      <c r="C19" s="58"/>
      <c r="D19" s="58"/>
      <c r="E19" s="58"/>
      <c r="F19" s="58"/>
      <c r="G19" s="58"/>
    </row>
    <row r="20" spans="1:7" ht="24.95" customHeight="1" x14ac:dyDescent="0.3">
      <c r="A20" s="61">
        <v>17</v>
      </c>
      <c r="B20" s="58"/>
      <c r="C20" s="58"/>
      <c r="D20" s="58"/>
      <c r="E20" s="58"/>
      <c r="F20" s="58"/>
      <c r="G20" s="58"/>
    </row>
    <row r="21" spans="1:7" ht="24.95" customHeight="1" x14ac:dyDescent="0.3">
      <c r="A21" s="62">
        <v>18</v>
      </c>
      <c r="B21" s="58"/>
      <c r="C21" s="58"/>
      <c r="D21" s="58"/>
      <c r="E21" s="58"/>
      <c r="F21" s="58"/>
      <c r="G21" s="58"/>
    </row>
    <row r="22" spans="1:7" ht="24.95" customHeight="1" x14ac:dyDescent="0.3">
      <c r="A22" s="61">
        <v>19</v>
      </c>
      <c r="B22" s="58"/>
      <c r="C22" s="58"/>
      <c r="D22" s="58"/>
      <c r="E22" s="58"/>
      <c r="F22" s="58"/>
      <c r="G22" s="58"/>
    </row>
    <row r="23" spans="1:7" ht="24.95" customHeight="1" x14ac:dyDescent="0.3">
      <c r="A23" s="62">
        <v>20</v>
      </c>
      <c r="B23" s="58"/>
      <c r="C23" s="58"/>
      <c r="D23" s="58"/>
      <c r="E23" s="58"/>
      <c r="F23" s="58"/>
      <c r="G23" s="58"/>
    </row>
    <row r="24" spans="1:7" ht="24.95" customHeight="1" x14ac:dyDescent="0.3">
      <c r="A24" s="61">
        <v>21</v>
      </c>
      <c r="B24" s="58"/>
      <c r="C24" s="58"/>
      <c r="D24" s="58"/>
      <c r="E24" s="58"/>
      <c r="F24" s="58"/>
      <c r="G24" s="58"/>
    </row>
    <row r="25" spans="1:7" ht="24.95" customHeight="1" x14ac:dyDescent="0.3">
      <c r="A25" s="62">
        <v>22</v>
      </c>
      <c r="B25" s="58"/>
      <c r="C25" s="58"/>
      <c r="D25" s="58"/>
      <c r="E25" s="58"/>
      <c r="F25" s="58"/>
      <c r="G25" s="58"/>
    </row>
    <row r="26" spans="1:7" ht="24.95" customHeight="1" x14ac:dyDescent="0.3">
      <c r="A26" s="61">
        <v>23</v>
      </c>
      <c r="B26" s="58"/>
      <c r="C26" s="58"/>
      <c r="D26" s="58"/>
      <c r="E26" s="58"/>
      <c r="F26" s="58"/>
      <c r="G26" s="58"/>
    </row>
    <row r="27" spans="1:7" ht="24.95" customHeight="1" x14ac:dyDescent="0.3">
      <c r="A27" s="62">
        <v>24</v>
      </c>
      <c r="B27" s="58"/>
      <c r="C27" s="58"/>
      <c r="D27" s="58"/>
      <c r="E27" s="58"/>
      <c r="F27" s="58"/>
      <c r="G27" s="58"/>
    </row>
    <row r="28" spans="1:7" ht="24.95" customHeight="1" x14ac:dyDescent="0.3">
      <c r="A28" s="61">
        <v>25</v>
      </c>
      <c r="B28" s="58"/>
      <c r="C28" s="58"/>
      <c r="D28" s="58"/>
      <c r="E28" s="58"/>
      <c r="F28" s="58"/>
      <c r="G28" s="58"/>
    </row>
    <row r="29" spans="1:7" ht="24.95" customHeight="1" x14ac:dyDescent="0.3">
      <c r="A29" s="62">
        <v>26</v>
      </c>
      <c r="B29" s="58"/>
      <c r="C29" s="58"/>
      <c r="D29" s="58"/>
      <c r="E29" s="58"/>
      <c r="F29" s="58"/>
      <c r="G29" s="58"/>
    </row>
    <row r="30" spans="1:7" ht="24.95" customHeight="1" x14ac:dyDescent="0.3">
      <c r="A30" s="61">
        <v>27</v>
      </c>
      <c r="B30" s="58"/>
      <c r="C30" s="58"/>
      <c r="D30" s="58"/>
      <c r="E30" s="58"/>
      <c r="F30" s="58"/>
      <c r="G30" s="58"/>
    </row>
    <row r="31" spans="1:7" ht="24.95" customHeight="1" x14ac:dyDescent="0.3">
      <c r="A31" s="62">
        <v>28</v>
      </c>
      <c r="B31" s="58"/>
      <c r="C31" s="58"/>
      <c r="D31" s="58"/>
      <c r="E31" s="58"/>
      <c r="F31" s="58"/>
      <c r="G31" s="58"/>
    </row>
    <row r="32" spans="1:7" ht="24.95" customHeight="1" x14ac:dyDescent="0.3">
      <c r="A32" s="61">
        <v>29</v>
      </c>
      <c r="B32" s="58"/>
      <c r="C32" s="58"/>
      <c r="D32" s="58"/>
      <c r="E32" s="58"/>
      <c r="F32" s="58"/>
      <c r="G32" s="58"/>
    </row>
    <row r="33" spans="1:7" ht="24.95" customHeight="1" x14ac:dyDescent="0.3">
      <c r="A33" s="62">
        <v>30</v>
      </c>
      <c r="B33" s="58"/>
      <c r="C33" s="58"/>
      <c r="D33" s="58"/>
      <c r="E33" s="58"/>
      <c r="F33" s="58"/>
      <c r="G33" s="58"/>
    </row>
    <row r="34" spans="1:7" ht="24.95" customHeight="1" x14ac:dyDescent="0.3">
      <c r="A34" s="61">
        <v>31</v>
      </c>
      <c r="B34" s="58"/>
      <c r="C34" s="58"/>
      <c r="D34" s="58"/>
      <c r="E34" s="58"/>
      <c r="F34" s="58"/>
      <c r="G34" s="58"/>
    </row>
    <row r="35" spans="1:7" ht="24.95" customHeight="1" x14ac:dyDescent="0.3">
      <c r="A35" s="62">
        <v>32</v>
      </c>
      <c r="B35" s="58"/>
      <c r="C35" s="58"/>
      <c r="D35" s="58"/>
      <c r="E35" s="58"/>
      <c r="F35" s="58"/>
      <c r="G35" s="58"/>
    </row>
    <row r="36" spans="1:7" ht="24.95" customHeight="1" x14ac:dyDescent="0.3">
      <c r="A36" s="61">
        <v>33</v>
      </c>
      <c r="B36" s="58"/>
      <c r="C36" s="58"/>
      <c r="D36" s="58"/>
      <c r="E36" s="58"/>
      <c r="F36" s="58"/>
      <c r="G36" s="58"/>
    </row>
    <row r="37" spans="1:7" ht="24.95" customHeight="1" x14ac:dyDescent="0.3">
      <c r="A37" s="62">
        <v>34</v>
      </c>
      <c r="B37" s="58"/>
      <c r="C37" s="58"/>
      <c r="D37" s="58"/>
      <c r="E37" s="58"/>
      <c r="F37" s="58"/>
      <c r="G37" s="58"/>
    </row>
    <row r="38" spans="1:7" ht="24.95" customHeight="1" x14ac:dyDescent="0.3">
      <c r="A38" s="61">
        <v>35</v>
      </c>
      <c r="B38" s="58"/>
      <c r="C38" s="58"/>
      <c r="D38" s="58"/>
      <c r="E38" s="58"/>
      <c r="F38" s="58"/>
      <c r="G38" s="58"/>
    </row>
    <row r="39" spans="1:7" ht="24.95" customHeight="1" x14ac:dyDescent="0.3">
      <c r="A39" s="62">
        <v>36</v>
      </c>
      <c r="B39" s="58"/>
      <c r="C39" s="58"/>
      <c r="D39" s="58"/>
      <c r="E39" s="58"/>
      <c r="F39" s="58"/>
      <c r="G39" s="58"/>
    </row>
    <row r="40" spans="1:7" ht="24.95" customHeight="1" x14ac:dyDescent="0.3">
      <c r="A40" s="61">
        <v>37</v>
      </c>
      <c r="B40" s="58"/>
      <c r="C40" s="58"/>
      <c r="D40" s="58"/>
      <c r="E40" s="58"/>
      <c r="F40" s="58"/>
      <c r="G40" s="58"/>
    </row>
    <row r="41" spans="1:7" ht="24.95" customHeight="1" x14ac:dyDescent="0.3">
      <c r="A41" s="62">
        <v>38</v>
      </c>
      <c r="B41" s="58"/>
      <c r="C41" s="58"/>
      <c r="D41" s="58"/>
      <c r="E41" s="58"/>
      <c r="F41" s="58"/>
      <c r="G41" s="58"/>
    </row>
    <row r="42" spans="1:7" ht="24.95" customHeight="1" x14ac:dyDescent="0.3">
      <c r="A42" s="61">
        <v>39</v>
      </c>
      <c r="B42" s="58"/>
      <c r="C42" s="58"/>
      <c r="D42" s="58"/>
      <c r="E42" s="58"/>
      <c r="F42" s="58"/>
      <c r="G42" s="58"/>
    </row>
    <row r="43" spans="1:7" ht="24.95" customHeight="1" x14ac:dyDescent="0.3">
      <c r="A43" s="62">
        <v>40</v>
      </c>
      <c r="B43" s="58"/>
      <c r="C43" s="58"/>
      <c r="D43" s="58"/>
      <c r="E43" s="58"/>
      <c r="F43" s="58"/>
      <c r="G43" s="58"/>
    </row>
    <row r="44" spans="1:7" ht="24.95" customHeight="1" x14ac:dyDescent="0.3">
      <c r="A44" s="61">
        <v>41</v>
      </c>
      <c r="B44" s="58"/>
      <c r="C44" s="58"/>
      <c r="D44" s="58"/>
      <c r="E44" s="58"/>
      <c r="F44" s="58"/>
      <c r="G44" s="58"/>
    </row>
    <row r="45" spans="1:7" ht="24.95" customHeight="1" x14ac:dyDescent="0.3">
      <c r="A45" s="62">
        <v>42</v>
      </c>
      <c r="B45" s="58"/>
      <c r="C45" s="58"/>
      <c r="D45" s="58"/>
      <c r="E45" s="58"/>
      <c r="F45" s="58"/>
      <c r="G45" s="58"/>
    </row>
    <row r="46" spans="1:7" ht="24.95" customHeight="1" x14ac:dyDescent="0.3">
      <c r="A46" s="61">
        <v>43</v>
      </c>
      <c r="B46" s="58"/>
      <c r="C46" s="58"/>
      <c r="D46" s="58"/>
      <c r="E46" s="58"/>
      <c r="F46" s="58"/>
      <c r="G46" s="58"/>
    </row>
    <row r="47" spans="1:7" ht="24.95" customHeight="1" x14ac:dyDescent="0.3">
      <c r="A47" s="62">
        <v>44</v>
      </c>
      <c r="B47" s="58"/>
      <c r="C47" s="58"/>
      <c r="D47" s="58"/>
      <c r="E47" s="58"/>
      <c r="F47" s="58"/>
      <c r="G47" s="58"/>
    </row>
    <row r="48" spans="1:7" ht="24.95" customHeight="1" x14ac:dyDescent="0.3">
      <c r="A48" s="61">
        <v>45</v>
      </c>
      <c r="B48" s="58"/>
      <c r="C48" s="58"/>
      <c r="D48" s="58"/>
      <c r="E48" s="58"/>
      <c r="F48" s="58"/>
      <c r="G48" s="58"/>
    </row>
    <row r="49" spans="1:7" ht="24.95" customHeight="1" x14ac:dyDescent="0.3">
      <c r="A49" s="62">
        <v>46</v>
      </c>
      <c r="B49" s="58"/>
      <c r="C49" s="58"/>
      <c r="D49" s="58"/>
      <c r="E49" s="58"/>
      <c r="F49" s="58"/>
      <c r="G49" s="58"/>
    </row>
    <row r="50" spans="1:7" ht="24.95" customHeight="1" x14ac:dyDescent="0.3">
      <c r="A50" s="61">
        <v>47</v>
      </c>
      <c r="B50" s="58"/>
      <c r="C50" s="58"/>
      <c r="D50" s="58"/>
      <c r="E50" s="58"/>
      <c r="F50" s="58"/>
      <c r="G50" s="58"/>
    </row>
    <row r="51" spans="1:7" ht="24.95" customHeight="1" x14ac:dyDescent="0.3">
      <c r="A51" s="62">
        <v>48</v>
      </c>
      <c r="B51" s="58"/>
      <c r="C51" s="58"/>
      <c r="D51" s="58"/>
      <c r="E51" s="58"/>
      <c r="F51" s="58"/>
      <c r="G51" s="58"/>
    </row>
    <row r="52" spans="1:7" ht="24.95" customHeight="1" x14ac:dyDescent="0.3">
      <c r="A52" s="61">
        <v>49</v>
      </c>
      <c r="B52" s="58"/>
      <c r="C52" s="58"/>
      <c r="D52" s="58"/>
      <c r="E52" s="58"/>
      <c r="F52" s="58"/>
      <c r="G52" s="58"/>
    </row>
    <row r="53" spans="1:7" ht="24.95" customHeight="1" x14ac:dyDescent="0.3">
      <c r="A53" s="62">
        <v>50</v>
      </c>
      <c r="B53" s="58"/>
      <c r="C53" s="58"/>
      <c r="D53" s="58"/>
      <c r="E53" s="58"/>
      <c r="F53" s="58"/>
      <c r="G53" s="58"/>
    </row>
    <row r="54" spans="1:7" ht="24.95" customHeight="1" x14ac:dyDescent="0.3">
      <c r="A54" s="61">
        <v>51</v>
      </c>
      <c r="B54" s="58"/>
      <c r="C54" s="58"/>
      <c r="D54" s="58"/>
      <c r="E54" s="58"/>
      <c r="F54" s="58"/>
      <c r="G54" s="58"/>
    </row>
    <row r="55" spans="1:7" ht="24.95" customHeight="1" x14ac:dyDescent="0.3">
      <c r="A55" s="62">
        <v>52</v>
      </c>
      <c r="B55" s="58"/>
      <c r="C55" s="58"/>
      <c r="D55" s="58"/>
      <c r="E55" s="58"/>
      <c r="F55" s="58"/>
      <c r="G55" s="58"/>
    </row>
    <row r="56" spans="1:7" ht="24" customHeight="1" x14ac:dyDescent="0.3">
      <c r="A56" s="61">
        <v>53</v>
      </c>
      <c r="B56" s="58"/>
      <c r="C56" s="58"/>
      <c r="D56" s="58"/>
      <c r="E56" s="58"/>
      <c r="F56" s="58"/>
      <c r="G56" s="58"/>
    </row>
    <row r="57" spans="1:7" ht="24" customHeight="1" x14ac:dyDescent="0.3">
      <c r="A57" s="62">
        <v>54</v>
      </c>
      <c r="B57" s="58"/>
      <c r="C57" s="58"/>
      <c r="D57" s="58"/>
      <c r="E57" s="58"/>
      <c r="F57" s="58"/>
      <c r="G57" s="58"/>
    </row>
    <row r="58" spans="1:7" ht="24" customHeight="1" x14ac:dyDescent="0.3">
      <c r="A58" s="61">
        <v>55</v>
      </c>
      <c r="B58" s="58"/>
      <c r="C58" s="58"/>
      <c r="D58" s="58"/>
      <c r="E58" s="58"/>
      <c r="F58" s="58"/>
      <c r="G58" s="58"/>
    </row>
    <row r="59" spans="1:7" ht="24" customHeight="1" x14ac:dyDescent="0.3">
      <c r="A59" s="62">
        <v>56</v>
      </c>
      <c r="B59" s="58"/>
      <c r="C59" s="58"/>
      <c r="D59" s="58"/>
      <c r="E59" s="58"/>
      <c r="F59" s="58"/>
      <c r="G59" s="58"/>
    </row>
    <row r="60" spans="1:7" ht="24" customHeight="1" x14ac:dyDescent="0.3">
      <c r="A60" s="61">
        <v>57</v>
      </c>
      <c r="B60" s="58"/>
      <c r="C60" s="58"/>
      <c r="D60" s="58"/>
      <c r="E60" s="58"/>
      <c r="F60" s="58"/>
      <c r="G60" s="58"/>
    </row>
    <row r="61" spans="1:7" ht="24" customHeight="1" x14ac:dyDescent="0.3">
      <c r="A61" s="62">
        <v>58</v>
      </c>
      <c r="B61" s="58"/>
      <c r="C61" s="58"/>
      <c r="D61" s="58"/>
      <c r="E61" s="58"/>
      <c r="F61" s="58"/>
      <c r="G61" s="58"/>
    </row>
    <row r="62" spans="1:7" ht="24" customHeight="1" x14ac:dyDescent="0.3">
      <c r="A62" s="61">
        <v>59</v>
      </c>
      <c r="B62" s="58"/>
      <c r="C62" s="58"/>
      <c r="D62" s="58"/>
      <c r="E62" s="58"/>
      <c r="F62" s="58"/>
      <c r="G62" s="58"/>
    </row>
    <row r="63" spans="1:7" ht="24" customHeight="1" x14ac:dyDescent="0.3">
      <c r="A63" s="62">
        <v>60</v>
      </c>
      <c r="B63" s="58"/>
      <c r="C63" s="58"/>
      <c r="D63" s="58"/>
      <c r="E63" s="58"/>
      <c r="F63" s="58"/>
      <c r="G63" s="58"/>
    </row>
    <row r="64" spans="1:7" ht="24" customHeight="1" x14ac:dyDescent="0.3">
      <c r="A64" s="61">
        <v>61</v>
      </c>
      <c r="B64" s="58"/>
      <c r="C64" s="58"/>
      <c r="D64" s="58"/>
      <c r="E64" s="58"/>
      <c r="F64" s="58"/>
      <c r="G64" s="58"/>
    </row>
    <row r="65" spans="1:7" ht="24" customHeight="1" x14ac:dyDescent="0.3">
      <c r="A65" s="62">
        <v>62</v>
      </c>
      <c r="B65" s="58"/>
      <c r="C65" s="58"/>
      <c r="D65" s="58"/>
      <c r="E65" s="58"/>
      <c r="F65" s="58"/>
      <c r="G65" s="58"/>
    </row>
    <row r="66" spans="1:7" ht="24" customHeight="1" x14ac:dyDescent="0.3">
      <c r="A66" s="61">
        <v>63</v>
      </c>
      <c r="B66" s="58"/>
      <c r="C66" s="58"/>
      <c r="D66" s="58"/>
      <c r="E66" s="58"/>
      <c r="F66" s="58"/>
      <c r="G66" s="58"/>
    </row>
    <row r="67" spans="1:7" ht="24" customHeight="1" x14ac:dyDescent="0.3">
      <c r="A67" s="62">
        <v>64</v>
      </c>
      <c r="B67" s="58"/>
      <c r="C67" s="58"/>
      <c r="D67" s="58"/>
      <c r="E67" s="58"/>
      <c r="F67" s="58"/>
      <c r="G67" s="58"/>
    </row>
    <row r="68" spans="1:7" ht="24" customHeight="1" x14ac:dyDescent="0.3">
      <c r="A68" s="61">
        <v>65</v>
      </c>
      <c r="B68" s="58"/>
      <c r="C68" s="58"/>
      <c r="D68" s="58"/>
      <c r="E68" s="58"/>
      <c r="F68" s="58"/>
      <c r="G68" s="58"/>
    </row>
    <row r="69" spans="1:7" ht="24" customHeight="1" x14ac:dyDescent="0.3">
      <c r="A69" s="62">
        <v>66</v>
      </c>
      <c r="B69" s="58"/>
      <c r="C69" s="58"/>
      <c r="D69" s="58"/>
      <c r="E69" s="58"/>
      <c r="F69" s="58"/>
      <c r="G69" s="58"/>
    </row>
    <row r="70" spans="1:7" ht="24" customHeight="1" x14ac:dyDescent="0.3">
      <c r="A70" s="61">
        <v>67</v>
      </c>
      <c r="B70" s="58"/>
      <c r="C70" s="58"/>
      <c r="D70" s="58"/>
      <c r="E70" s="58"/>
      <c r="F70" s="58"/>
      <c r="G70" s="58"/>
    </row>
    <row r="71" spans="1:7" ht="24" customHeight="1" x14ac:dyDescent="0.3">
      <c r="A71" s="62">
        <v>68</v>
      </c>
      <c r="B71" s="58"/>
      <c r="C71" s="58"/>
      <c r="D71" s="58"/>
      <c r="E71" s="58"/>
      <c r="F71" s="58"/>
      <c r="G71" s="58"/>
    </row>
    <row r="72" spans="1:7" ht="24" customHeight="1" x14ac:dyDescent="0.3">
      <c r="A72" s="61">
        <v>69</v>
      </c>
      <c r="B72" s="58"/>
      <c r="C72" s="58"/>
      <c r="D72" s="58"/>
      <c r="E72" s="58"/>
      <c r="F72" s="58"/>
      <c r="G72" s="58"/>
    </row>
    <row r="73" spans="1:7" ht="24" customHeight="1" x14ac:dyDescent="0.3">
      <c r="A73" s="62">
        <v>70</v>
      </c>
      <c r="B73" s="58"/>
      <c r="C73" s="58"/>
      <c r="D73" s="58"/>
      <c r="E73" s="58"/>
      <c r="F73" s="58"/>
      <c r="G73" s="58"/>
    </row>
    <row r="74" spans="1:7" ht="24" customHeight="1" x14ac:dyDescent="0.3">
      <c r="A74" s="61">
        <v>71</v>
      </c>
      <c r="B74" s="58"/>
      <c r="C74" s="58"/>
      <c r="D74" s="58"/>
      <c r="E74" s="58"/>
      <c r="F74" s="58"/>
      <c r="G74" s="58"/>
    </row>
    <row r="75" spans="1:7" ht="24" customHeight="1" x14ac:dyDescent="0.3">
      <c r="A75" s="62">
        <v>72</v>
      </c>
      <c r="B75" s="58"/>
      <c r="C75" s="58"/>
      <c r="D75" s="58"/>
      <c r="E75" s="58"/>
      <c r="F75" s="58"/>
      <c r="G75" s="58"/>
    </row>
    <row r="76" spans="1:7" ht="24" customHeight="1" x14ac:dyDescent="0.3">
      <c r="A76" s="61">
        <v>73</v>
      </c>
      <c r="B76" s="58"/>
      <c r="C76" s="58"/>
      <c r="D76" s="58"/>
      <c r="E76" s="58"/>
      <c r="F76" s="58"/>
      <c r="G76" s="58"/>
    </row>
    <row r="77" spans="1:7" ht="24" customHeight="1" x14ac:dyDescent="0.3">
      <c r="A77" s="62">
        <v>74</v>
      </c>
      <c r="B77" s="58"/>
      <c r="C77" s="58"/>
      <c r="D77" s="58"/>
      <c r="E77" s="58"/>
      <c r="F77" s="58"/>
      <c r="G77" s="58"/>
    </row>
    <row r="78" spans="1:7" x14ac:dyDescent="0.3">
      <c r="A78" s="61">
        <v>75</v>
      </c>
      <c r="B78" s="58"/>
      <c r="C78" s="58"/>
      <c r="D78" s="58"/>
      <c r="E78" s="58"/>
      <c r="F78" s="58"/>
      <c r="G78" s="58"/>
    </row>
    <row r="79" spans="1:7" x14ac:dyDescent="0.3">
      <c r="A79" s="62">
        <v>76</v>
      </c>
      <c r="B79" s="58"/>
      <c r="C79" s="58"/>
      <c r="D79" s="58"/>
      <c r="E79" s="58"/>
      <c r="F79" s="58"/>
      <c r="G79" s="58"/>
    </row>
    <row r="80" spans="1:7" x14ac:dyDescent="0.3">
      <c r="A80" s="61">
        <v>77</v>
      </c>
      <c r="B80" s="58"/>
      <c r="C80" s="58"/>
      <c r="D80" s="58"/>
      <c r="E80" s="58"/>
      <c r="F80" s="58"/>
      <c r="G80" s="58"/>
    </row>
    <row r="81" spans="1:7" x14ac:dyDescent="0.3">
      <c r="A81" s="62">
        <v>78</v>
      </c>
      <c r="B81" s="58"/>
      <c r="C81" s="58"/>
      <c r="D81" s="58"/>
      <c r="E81" s="58"/>
      <c r="F81" s="58"/>
      <c r="G81" s="58"/>
    </row>
    <row r="82" spans="1:7" x14ac:dyDescent="0.3">
      <c r="A82" s="61">
        <v>79</v>
      </c>
      <c r="B82" s="58"/>
      <c r="C82" s="58"/>
      <c r="D82" s="58"/>
      <c r="E82" s="58"/>
      <c r="F82" s="58"/>
      <c r="G82" s="58"/>
    </row>
    <row r="83" spans="1:7" x14ac:dyDescent="0.3">
      <c r="A83" s="62">
        <v>80</v>
      </c>
      <c r="B83" s="58"/>
      <c r="C83" s="58"/>
      <c r="D83" s="58"/>
      <c r="E83" s="58"/>
      <c r="F83" s="58"/>
      <c r="G83" s="58"/>
    </row>
    <row r="84" spans="1:7" x14ac:dyDescent="0.3">
      <c r="A84" s="61">
        <v>81</v>
      </c>
      <c r="B84" s="58"/>
      <c r="C84" s="58"/>
      <c r="D84" s="58"/>
      <c r="E84" s="58"/>
      <c r="F84" s="58"/>
      <c r="G84" s="58"/>
    </row>
    <row r="85" spans="1:7" x14ac:dyDescent="0.3">
      <c r="A85" s="62">
        <v>82</v>
      </c>
      <c r="B85" s="58"/>
      <c r="C85" s="58"/>
      <c r="D85" s="58"/>
      <c r="E85" s="58"/>
      <c r="F85" s="58"/>
      <c r="G85" s="58"/>
    </row>
    <row r="86" spans="1:7" x14ac:dyDescent="0.3">
      <c r="A86" s="61">
        <v>83</v>
      </c>
      <c r="B86" s="58"/>
      <c r="C86" s="58"/>
      <c r="D86" s="58"/>
      <c r="E86" s="58"/>
      <c r="F86" s="58"/>
      <c r="G86" s="58"/>
    </row>
    <row r="87" spans="1:7" x14ac:dyDescent="0.3">
      <c r="A87" s="62">
        <v>84</v>
      </c>
      <c r="B87" s="58"/>
      <c r="C87" s="58"/>
      <c r="D87" s="58"/>
      <c r="E87" s="58"/>
      <c r="F87" s="58"/>
      <c r="G87" s="58"/>
    </row>
    <row r="88" spans="1:7" x14ac:dyDescent="0.3">
      <c r="A88" s="61">
        <v>85</v>
      </c>
      <c r="B88" s="58"/>
      <c r="C88" s="58"/>
      <c r="D88" s="58"/>
      <c r="E88" s="58"/>
      <c r="F88" s="58"/>
      <c r="G88" s="58"/>
    </row>
    <row r="89" spans="1:7" x14ac:dyDescent="0.3">
      <c r="A89" s="62">
        <v>86</v>
      </c>
      <c r="B89" s="58"/>
      <c r="C89" s="58"/>
      <c r="D89" s="58"/>
      <c r="E89" s="58"/>
      <c r="F89" s="58"/>
      <c r="G89" s="58"/>
    </row>
    <row r="90" spans="1:7" x14ac:dyDescent="0.3">
      <c r="A90" s="61">
        <v>87</v>
      </c>
      <c r="B90" s="58"/>
      <c r="C90" s="58"/>
      <c r="D90" s="58"/>
      <c r="E90" s="58"/>
      <c r="F90" s="58"/>
      <c r="G90" s="58"/>
    </row>
    <row r="91" spans="1:7" x14ac:dyDescent="0.3">
      <c r="A91" s="62">
        <v>88</v>
      </c>
      <c r="B91" s="58"/>
      <c r="C91" s="58"/>
      <c r="D91" s="58"/>
      <c r="E91" s="58"/>
      <c r="F91" s="58"/>
      <c r="G91" s="58"/>
    </row>
    <row r="92" spans="1:7" x14ac:dyDescent="0.3">
      <c r="A92" s="61">
        <v>89</v>
      </c>
      <c r="B92" s="58"/>
      <c r="C92" s="58"/>
      <c r="D92" s="58"/>
      <c r="E92" s="58"/>
      <c r="F92" s="58"/>
      <c r="G92" s="58"/>
    </row>
    <row r="93" spans="1:7" x14ac:dyDescent="0.3">
      <c r="A93" s="62">
        <v>90</v>
      </c>
      <c r="B93" s="58"/>
      <c r="C93" s="58"/>
      <c r="D93" s="58"/>
      <c r="E93" s="58"/>
      <c r="F93" s="58"/>
      <c r="G93" s="58"/>
    </row>
    <row r="94" spans="1:7" x14ac:dyDescent="0.3">
      <c r="A94" s="61">
        <v>91</v>
      </c>
      <c r="B94" s="58"/>
      <c r="C94" s="58"/>
      <c r="D94" s="58"/>
      <c r="E94" s="58"/>
      <c r="F94" s="58"/>
      <c r="G94" s="58"/>
    </row>
    <row r="95" spans="1:7" x14ac:dyDescent="0.3">
      <c r="A95" s="62">
        <v>92</v>
      </c>
      <c r="B95" s="58"/>
      <c r="C95" s="58"/>
      <c r="D95" s="58"/>
      <c r="E95" s="58"/>
      <c r="F95" s="58"/>
      <c r="G95" s="58"/>
    </row>
    <row r="96" spans="1:7" x14ac:dyDescent="0.3">
      <c r="A96" s="61">
        <v>93</v>
      </c>
      <c r="B96" s="58"/>
      <c r="C96" s="58"/>
      <c r="D96" s="58"/>
      <c r="E96" s="58"/>
      <c r="F96" s="58"/>
      <c r="G96" s="58"/>
    </row>
    <row r="97" spans="1:7" x14ac:dyDescent="0.3">
      <c r="A97" s="62">
        <v>94</v>
      </c>
      <c r="B97" s="58"/>
      <c r="C97" s="58"/>
      <c r="D97" s="58"/>
      <c r="E97" s="58"/>
      <c r="F97" s="58"/>
      <c r="G97" s="58"/>
    </row>
    <row r="98" spans="1:7" x14ac:dyDescent="0.3">
      <c r="A98" s="61">
        <v>95</v>
      </c>
      <c r="B98" s="58"/>
      <c r="C98" s="58"/>
      <c r="D98" s="58"/>
      <c r="E98" s="58"/>
      <c r="F98" s="58"/>
      <c r="G98" s="58"/>
    </row>
    <row r="99" spans="1:7" x14ac:dyDescent="0.3">
      <c r="A99" s="62">
        <v>96</v>
      </c>
      <c r="B99" s="58"/>
      <c r="C99" s="58"/>
      <c r="D99" s="58"/>
      <c r="E99" s="58"/>
      <c r="F99" s="58"/>
      <c r="G99" s="58"/>
    </row>
    <row r="100" spans="1:7" x14ac:dyDescent="0.3">
      <c r="A100" s="61">
        <v>97</v>
      </c>
      <c r="B100" s="58"/>
      <c r="C100" s="58"/>
      <c r="D100" s="58"/>
      <c r="E100" s="58"/>
      <c r="F100" s="58"/>
      <c r="G100" s="58"/>
    </row>
    <row r="101" spans="1:7" x14ac:dyDescent="0.3">
      <c r="A101" s="58"/>
      <c r="B101" s="58"/>
      <c r="C101" s="58"/>
      <c r="D101" s="58"/>
      <c r="E101" s="58"/>
      <c r="F101" s="58"/>
      <c r="G101" s="58"/>
    </row>
    <row r="102" spans="1:7" x14ac:dyDescent="0.3">
      <c r="A102" s="58"/>
      <c r="B102" s="58"/>
      <c r="C102" s="58"/>
      <c r="D102" s="58"/>
      <c r="E102" s="58"/>
      <c r="F102" s="58"/>
      <c r="G102" s="58"/>
    </row>
    <row r="103" spans="1:7" x14ac:dyDescent="0.3">
      <c r="A103" s="58"/>
      <c r="B103" s="58"/>
      <c r="C103" s="58"/>
      <c r="D103" s="58"/>
      <c r="E103" s="58"/>
      <c r="F103" s="58"/>
      <c r="G103" s="58"/>
    </row>
    <row r="104" spans="1:7" x14ac:dyDescent="0.3">
      <c r="A104" s="58"/>
      <c r="B104" s="58"/>
      <c r="C104" s="58"/>
      <c r="D104" s="58"/>
      <c r="E104" s="58"/>
      <c r="F104" s="58"/>
      <c r="G104" s="58"/>
    </row>
    <row r="105" spans="1:7" x14ac:dyDescent="0.3">
      <c r="A105" s="58"/>
      <c r="B105" s="58"/>
      <c r="C105" s="58"/>
      <c r="D105" s="58"/>
      <c r="E105" s="58"/>
      <c r="F105" s="58"/>
      <c r="G105" s="58"/>
    </row>
    <row r="106" spans="1:7" x14ac:dyDescent="0.3">
      <c r="A106" s="59"/>
      <c r="B106" s="59"/>
      <c r="C106" s="59"/>
      <c r="D106" s="59"/>
      <c r="E106" s="59"/>
      <c r="F106" s="59"/>
      <c r="G106" s="59"/>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17" t="s">
        <v>80</v>
      </c>
      <c r="B1" s="117"/>
      <c r="C1" s="117"/>
      <c r="D1" s="117"/>
      <c r="E1" s="117"/>
      <c r="F1" s="117"/>
      <c r="G1" s="117"/>
      <c r="H1" s="117"/>
      <c r="I1" s="117"/>
    </row>
    <row r="3" spans="1:10" s="2" customFormat="1" x14ac:dyDescent="0.3">
      <c r="A3" s="63" t="s">
        <v>65</v>
      </c>
      <c r="B3" s="63" t="s">
        <v>71</v>
      </c>
      <c r="C3" s="63" t="s">
        <v>72</v>
      </c>
      <c r="D3" s="63" t="s">
        <v>73</v>
      </c>
      <c r="E3" s="63" t="s">
        <v>74</v>
      </c>
      <c r="F3" s="63" t="s">
        <v>75</v>
      </c>
      <c r="G3" s="63" t="s">
        <v>76</v>
      </c>
      <c r="H3" s="63" t="s">
        <v>77</v>
      </c>
      <c r="I3" s="63" t="s">
        <v>78</v>
      </c>
      <c r="J3" s="63" t="s">
        <v>79</v>
      </c>
    </row>
    <row r="4" spans="1:10" ht="24" customHeight="1" x14ac:dyDescent="0.3">
      <c r="A4" s="61">
        <v>1</v>
      </c>
      <c r="B4" s="60"/>
      <c r="C4" s="60"/>
      <c r="D4" s="60"/>
      <c r="E4" s="60"/>
      <c r="F4" s="60"/>
      <c r="G4" s="60"/>
      <c r="H4" s="60"/>
      <c r="I4" s="60"/>
      <c r="J4" s="60"/>
    </row>
    <row r="5" spans="1:10" ht="24" customHeight="1" x14ac:dyDescent="0.3">
      <c r="A5" s="62">
        <v>2</v>
      </c>
      <c r="B5" s="58"/>
      <c r="C5" s="58"/>
      <c r="D5" s="58"/>
      <c r="E5" s="58"/>
      <c r="F5" s="58"/>
      <c r="G5" s="58"/>
      <c r="H5" s="58"/>
      <c r="I5" s="58"/>
      <c r="J5" s="60"/>
    </row>
    <row r="6" spans="1:10" ht="24" customHeight="1" x14ac:dyDescent="0.3">
      <c r="A6" s="61">
        <v>3</v>
      </c>
      <c r="B6" s="58"/>
      <c r="C6" s="58"/>
      <c r="D6" s="58"/>
      <c r="E6" s="58"/>
      <c r="F6" s="58"/>
      <c r="G6" s="58"/>
      <c r="H6" s="58"/>
      <c r="I6" s="58"/>
      <c r="J6" s="60"/>
    </row>
    <row r="7" spans="1:10" ht="24" customHeight="1" x14ac:dyDescent="0.3">
      <c r="A7" s="62">
        <v>4</v>
      </c>
      <c r="B7" s="58"/>
      <c r="C7" s="58"/>
      <c r="D7" s="58"/>
      <c r="E7" s="58"/>
      <c r="F7" s="58"/>
      <c r="G7" s="58"/>
      <c r="H7" s="58"/>
      <c r="I7" s="58"/>
      <c r="J7" s="60"/>
    </row>
    <row r="8" spans="1:10" ht="24" customHeight="1" x14ac:dyDescent="0.3">
      <c r="A8" s="61">
        <v>5</v>
      </c>
      <c r="B8" s="58"/>
      <c r="C8" s="58"/>
      <c r="D8" s="58"/>
      <c r="E8" s="58"/>
      <c r="F8" s="58"/>
      <c r="G8" s="58"/>
      <c r="H8" s="58"/>
      <c r="I8" s="58"/>
      <c r="J8" s="60"/>
    </row>
    <row r="9" spans="1:10" ht="24" customHeight="1" x14ac:dyDescent="0.3">
      <c r="A9" s="62">
        <v>6</v>
      </c>
      <c r="B9" s="58"/>
      <c r="C9" s="58"/>
      <c r="D9" s="58"/>
      <c r="E9" s="58"/>
      <c r="F9" s="58"/>
      <c r="G9" s="58"/>
      <c r="H9" s="58"/>
      <c r="I9" s="58"/>
      <c r="J9" s="60"/>
    </row>
    <row r="10" spans="1:10" ht="24" customHeight="1" x14ac:dyDescent="0.3">
      <c r="A10" s="61">
        <v>7</v>
      </c>
      <c r="B10" s="58"/>
      <c r="C10" s="58"/>
      <c r="D10" s="58"/>
      <c r="E10" s="58"/>
      <c r="F10" s="58"/>
      <c r="G10" s="58"/>
      <c r="H10" s="58"/>
      <c r="I10" s="58"/>
      <c r="J10" s="60"/>
    </row>
    <row r="11" spans="1:10" ht="24" customHeight="1" x14ac:dyDescent="0.3">
      <c r="A11" s="62">
        <v>8</v>
      </c>
      <c r="B11" s="58"/>
      <c r="C11" s="58"/>
      <c r="D11" s="58"/>
      <c r="E11" s="58"/>
      <c r="F11" s="58"/>
      <c r="G11" s="58"/>
      <c r="H11" s="58"/>
      <c r="I11" s="58"/>
      <c r="J11" s="60"/>
    </row>
    <row r="12" spans="1:10" ht="24" customHeight="1" x14ac:dyDescent="0.3">
      <c r="A12" s="61">
        <v>9</v>
      </c>
      <c r="B12" s="58"/>
      <c r="C12" s="58"/>
      <c r="D12" s="58"/>
      <c r="E12" s="58"/>
      <c r="F12" s="58"/>
      <c r="G12" s="58"/>
      <c r="H12" s="58"/>
      <c r="I12" s="58"/>
      <c r="J12" s="60"/>
    </row>
    <row r="13" spans="1:10" ht="24" customHeight="1" x14ac:dyDescent="0.3">
      <c r="A13" s="62">
        <v>10</v>
      </c>
      <c r="B13" s="58"/>
      <c r="C13" s="58"/>
      <c r="D13" s="58"/>
      <c r="E13" s="58"/>
      <c r="F13" s="58"/>
      <c r="G13" s="58"/>
      <c r="H13" s="58"/>
      <c r="I13" s="58"/>
      <c r="J13" s="60"/>
    </row>
    <row r="14" spans="1:10" ht="24" customHeight="1" x14ac:dyDescent="0.3">
      <c r="A14" s="61">
        <v>11</v>
      </c>
      <c r="B14" s="58"/>
      <c r="C14" s="58"/>
      <c r="D14" s="58"/>
      <c r="E14" s="58"/>
      <c r="F14" s="58"/>
      <c r="G14" s="58"/>
      <c r="H14" s="58"/>
      <c r="I14" s="58"/>
      <c r="J14" s="60"/>
    </row>
    <row r="15" spans="1:10" ht="24" customHeight="1" x14ac:dyDescent="0.3">
      <c r="A15" s="62">
        <v>12</v>
      </c>
      <c r="B15" s="58"/>
      <c r="C15" s="58"/>
      <c r="D15" s="58"/>
      <c r="E15" s="58"/>
      <c r="F15" s="58"/>
      <c r="G15" s="58"/>
      <c r="H15" s="58"/>
      <c r="I15" s="58"/>
      <c r="J15" s="60"/>
    </row>
    <row r="16" spans="1:10" ht="24" customHeight="1" x14ac:dyDescent="0.3">
      <c r="A16" s="61">
        <v>13</v>
      </c>
      <c r="B16" s="58"/>
      <c r="C16" s="58"/>
      <c r="D16" s="58"/>
      <c r="E16" s="58"/>
      <c r="F16" s="58"/>
      <c r="G16" s="58"/>
      <c r="H16" s="58"/>
      <c r="I16" s="58"/>
      <c r="J16" s="60"/>
    </row>
    <row r="17" spans="1:10" ht="24" customHeight="1" x14ac:dyDescent="0.3">
      <c r="A17" s="62">
        <v>14</v>
      </c>
      <c r="B17" s="58"/>
      <c r="C17" s="58"/>
      <c r="D17" s="58"/>
      <c r="E17" s="58"/>
      <c r="F17" s="58"/>
      <c r="G17" s="58"/>
      <c r="H17" s="58"/>
      <c r="I17" s="58"/>
      <c r="J17" s="60"/>
    </row>
    <row r="18" spans="1:10" ht="24" customHeight="1" x14ac:dyDescent="0.3">
      <c r="A18" s="61">
        <v>15</v>
      </c>
      <c r="B18" s="58"/>
      <c r="C18" s="58"/>
      <c r="D18" s="58"/>
      <c r="E18" s="58"/>
      <c r="F18" s="58"/>
      <c r="G18" s="58"/>
      <c r="H18" s="58"/>
      <c r="I18" s="58"/>
      <c r="J18" s="60"/>
    </row>
    <row r="19" spans="1:10" ht="24" customHeight="1" x14ac:dyDescent="0.3">
      <c r="A19" s="62">
        <v>16</v>
      </c>
      <c r="B19" s="58"/>
      <c r="C19" s="58"/>
      <c r="D19" s="58"/>
      <c r="E19" s="58"/>
      <c r="F19" s="58"/>
      <c r="G19" s="58"/>
      <c r="H19" s="58"/>
      <c r="I19" s="58"/>
      <c r="J19" s="60"/>
    </row>
    <row r="20" spans="1:10" ht="24" customHeight="1" x14ac:dyDescent="0.3">
      <c r="A20" s="61">
        <v>17</v>
      </c>
      <c r="B20" s="58"/>
      <c r="C20" s="58"/>
      <c r="D20" s="58"/>
      <c r="E20" s="58"/>
      <c r="F20" s="58"/>
      <c r="G20" s="58"/>
      <c r="H20" s="58"/>
      <c r="I20" s="58"/>
      <c r="J20" s="60"/>
    </row>
    <row r="21" spans="1:10" ht="24" customHeight="1" x14ac:dyDescent="0.3">
      <c r="A21" s="62">
        <v>18</v>
      </c>
      <c r="B21" s="58"/>
      <c r="C21" s="58"/>
      <c r="D21" s="58"/>
      <c r="E21" s="58"/>
      <c r="F21" s="58"/>
      <c r="G21" s="58"/>
      <c r="H21" s="58"/>
      <c r="I21" s="58"/>
      <c r="J21" s="60"/>
    </row>
    <row r="22" spans="1:10" ht="24" customHeight="1" x14ac:dyDescent="0.3">
      <c r="A22" s="61">
        <v>19</v>
      </c>
      <c r="B22" s="58"/>
      <c r="C22" s="58"/>
      <c r="D22" s="58"/>
      <c r="E22" s="58"/>
      <c r="F22" s="58"/>
      <c r="G22" s="58"/>
      <c r="H22" s="58"/>
      <c r="I22" s="58"/>
      <c r="J22" s="60"/>
    </row>
    <row r="23" spans="1:10" ht="24" customHeight="1" x14ac:dyDescent="0.3">
      <c r="A23" s="62">
        <v>20</v>
      </c>
      <c r="B23" s="58"/>
      <c r="C23" s="58"/>
      <c r="D23" s="58"/>
      <c r="E23" s="58"/>
      <c r="F23" s="58"/>
      <c r="G23" s="58"/>
      <c r="H23" s="58"/>
      <c r="I23" s="58"/>
      <c r="J23" s="60"/>
    </row>
    <row r="24" spans="1:10" ht="24" customHeight="1" x14ac:dyDescent="0.3">
      <c r="A24" s="61">
        <v>21</v>
      </c>
      <c r="B24" s="58"/>
      <c r="C24" s="58"/>
      <c r="D24" s="58"/>
      <c r="E24" s="58"/>
      <c r="F24" s="58"/>
      <c r="G24" s="58"/>
      <c r="H24" s="58"/>
      <c r="I24" s="58"/>
      <c r="J24" s="60"/>
    </row>
    <row r="25" spans="1:10" ht="24" customHeight="1" x14ac:dyDescent="0.3">
      <c r="A25" s="62">
        <v>22</v>
      </c>
      <c r="B25" s="58"/>
      <c r="C25" s="58"/>
      <c r="D25" s="58"/>
      <c r="E25" s="58"/>
      <c r="F25" s="58"/>
      <c r="G25" s="58"/>
      <c r="H25" s="58"/>
      <c r="I25" s="58"/>
      <c r="J25" s="60"/>
    </row>
    <row r="26" spans="1:10" ht="24" customHeight="1" x14ac:dyDescent="0.3">
      <c r="A26" s="61">
        <v>23</v>
      </c>
      <c r="B26" s="58"/>
      <c r="C26" s="58"/>
      <c r="D26" s="58"/>
      <c r="E26" s="58"/>
      <c r="F26" s="58"/>
      <c r="G26" s="58"/>
      <c r="H26" s="58"/>
      <c r="I26" s="58"/>
      <c r="J26" s="60"/>
    </row>
    <row r="27" spans="1:10" ht="24" customHeight="1" x14ac:dyDescent="0.3">
      <c r="A27" s="62">
        <v>24</v>
      </c>
      <c r="B27" s="58"/>
      <c r="C27" s="58"/>
      <c r="D27" s="58"/>
      <c r="E27" s="58"/>
      <c r="F27" s="58"/>
      <c r="G27" s="58"/>
      <c r="H27" s="58"/>
      <c r="I27" s="58"/>
      <c r="J27" s="60"/>
    </row>
    <row r="28" spans="1:10" ht="24" customHeight="1" x14ac:dyDescent="0.3">
      <c r="A28" s="61">
        <v>25</v>
      </c>
      <c r="B28" s="58"/>
      <c r="C28" s="58"/>
      <c r="D28" s="58"/>
      <c r="E28" s="58"/>
      <c r="F28" s="58"/>
      <c r="G28" s="58"/>
      <c r="H28" s="58"/>
      <c r="I28" s="58"/>
      <c r="J28" s="60"/>
    </row>
    <row r="29" spans="1:10" ht="24" customHeight="1" x14ac:dyDescent="0.3">
      <c r="A29" s="62">
        <v>26</v>
      </c>
      <c r="B29" s="58"/>
      <c r="C29" s="58"/>
      <c r="D29" s="58"/>
      <c r="E29" s="58"/>
      <c r="F29" s="58"/>
      <c r="G29" s="58"/>
      <c r="H29" s="58"/>
      <c r="I29" s="58"/>
      <c r="J29" s="60"/>
    </row>
    <row r="30" spans="1:10" ht="24" customHeight="1" x14ac:dyDescent="0.3">
      <c r="A30" s="61">
        <v>27</v>
      </c>
      <c r="B30" s="58"/>
      <c r="C30" s="58"/>
      <c r="D30" s="58"/>
      <c r="E30" s="58"/>
      <c r="F30" s="58"/>
      <c r="G30" s="58"/>
      <c r="H30" s="58"/>
      <c r="I30" s="58"/>
      <c r="J30" s="60"/>
    </row>
    <row r="31" spans="1:10" ht="24" customHeight="1" x14ac:dyDescent="0.3">
      <c r="A31" s="62">
        <v>28</v>
      </c>
      <c r="B31" s="58"/>
      <c r="C31" s="58"/>
      <c r="D31" s="58"/>
      <c r="E31" s="58"/>
      <c r="F31" s="58"/>
      <c r="G31" s="58"/>
      <c r="H31" s="58"/>
      <c r="I31" s="58"/>
      <c r="J31" s="60"/>
    </row>
    <row r="32" spans="1:10" ht="24" customHeight="1" x14ac:dyDescent="0.3">
      <c r="A32" s="61">
        <v>29</v>
      </c>
      <c r="B32" s="58"/>
      <c r="C32" s="58"/>
      <c r="D32" s="58"/>
      <c r="E32" s="58"/>
      <c r="F32" s="58"/>
      <c r="G32" s="58"/>
      <c r="H32" s="58"/>
      <c r="I32" s="58"/>
      <c r="J32" s="60"/>
    </row>
    <row r="33" spans="1:10" ht="24" customHeight="1" x14ac:dyDescent="0.3">
      <c r="A33" s="62">
        <v>30</v>
      </c>
      <c r="B33" s="58"/>
      <c r="C33" s="58"/>
      <c r="D33" s="58"/>
      <c r="E33" s="58"/>
      <c r="F33" s="58"/>
      <c r="G33" s="58"/>
      <c r="H33" s="58"/>
      <c r="I33" s="58"/>
      <c r="J33" s="60"/>
    </row>
    <row r="34" spans="1:10" ht="24" customHeight="1" x14ac:dyDescent="0.3">
      <c r="A34" s="61">
        <v>31</v>
      </c>
      <c r="B34" s="58"/>
      <c r="C34" s="58"/>
      <c r="D34" s="58"/>
      <c r="E34" s="58"/>
      <c r="F34" s="58"/>
      <c r="G34" s="58"/>
      <c r="H34" s="58"/>
      <c r="I34" s="58"/>
      <c r="J34" s="60"/>
    </row>
    <row r="35" spans="1:10" ht="24" customHeight="1" x14ac:dyDescent="0.3">
      <c r="A35" s="62">
        <v>32</v>
      </c>
      <c r="B35" s="58"/>
      <c r="C35" s="58"/>
      <c r="D35" s="58"/>
      <c r="E35" s="58"/>
      <c r="F35" s="58"/>
      <c r="G35" s="58"/>
      <c r="H35" s="58"/>
      <c r="I35" s="58"/>
      <c r="J35" s="60"/>
    </row>
    <row r="36" spans="1:10" ht="24" customHeight="1" x14ac:dyDescent="0.3">
      <c r="A36" s="61">
        <v>33</v>
      </c>
      <c r="B36" s="58"/>
      <c r="C36" s="58"/>
      <c r="D36" s="58"/>
      <c r="E36" s="58"/>
      <c r="F36" s="58"/>
      <c r="G36" s="58"/>
      <c r="H36" s="58"/>
      <c r="I36" s="58"/>
      <c r="J36" s="60"/>
    </row>
    <row r="37" spans="1:10" ht="24" customHeight="1" x14ac:dyDescent="0.3">
      <c r="A37" s="62">
        <v>34</v>
      </c>
      <c r="B37" s="58"/>
      <c r="C37" s="58"/>
      <c r="D37" s="58"/>
      <c r="E37" s="58"/>
      <c r="F37" s="58"/>
      <c r="G37" s="58"/>
      <c r="H37" s="58"/>
      <c r="I37" s="58"/>
      <c r="J37" s="60"/>
    </row>
    <row r="38" spans="1:10" ht="24" customHeight="1" x14ac:dyDescent="0.3">
      <c r="A38" s="61">
        <v>35</v>
      </c>
      <c r="B38" s="58"/>
      <c r="C38" s="58"/>
      <c r="D38" s="58"/>
      <c r="E38" s="58"/>
      <c r="F38" s="58"/>
      <c r="G38" s="58"/>
      <c r="H38" s="58"/>
      <c r="I38" s="58"/>
      <c r="J38" s="60"/>
    </row>
    <row r="39" spans="1:10" ht="24" customHeight="1" x14ac:dyDescent="0.3">
      <c r="A39" s="62">
        <v>36</v>
      </c>
      <c r="B39" s="58"/>
      <c r="C39" s="58"/>
      <c r="D39" s="58"/>
      <c r="E39" s="58"/>
      <c r="F39" s="58"/>
      <c r="G39" s="58"/>
      <c r="H39" s="58"/>
      <c r="I39" s="58"/>
      <c r="J39" s="60"/>
    </row>
    <row r="40" spans="1:10" ht="24" customHeight="1" x14ac:dyDescent="0.3">
      <c r="A40" s="61">
        <v>37</v>
      </c>
      <c r="B40" s="58"/>
      <c r="C40" s="58"/>
      <c r="D40" s="58"/>
      <c r="E40" s="58"/>
      <c r="F40" s="58"/>
      <c r="G40" s="58"/>
      <c r="H40" s="58"/>
      <c r="I40" s="58"/>
      <c r="J40" s="60"/>
    </row>
    <row r="41" spans="1:10" ht="24" customHeight="1" x14ac:dyDescent="0.3">
      <c r="A41" s="62">
        <v>38</v>
      </c>
      <c r="B41" s="58"/>
      <c r="C41" s="58"/>
      <c r="D41" s="58"/>
      <c r="E41" s="58"/>
      <c r="F41" s="58"/>
      <c r="G41" s="58"/>
      <c r="H41" s="58"/>
      <c r="I41" s="58"/>
      <c r="J41" s="60"/>
    </row>
    <row r="42" spans="1:10" ht="24" customHeight="1" x14ac:dyDescent="0.3">
      <c r="A42" s="61">
        <v>39</v>
      </c>
      <c r="B42" s="58"/>
      <c r="C42" s="58"/>
      <c r="D42" s="58"/>
      <c r="E42" s="58"/>
      <c r="F42" s="58"/>
      <c r="G42" s="58"/>
      <c r="H42" s="58"/>
      <c r="I42" s="58"/>
      <c r="J42" s="60"/>
    </row>
    <row r="43" spans="1:10" ht="24" customHeight="1" x14ac:dyDescent="0.3">
      <c r="A43" s="62">
        <v>40</v>
      </c>
      <c r="B43" s="58"/>
      <c r="C43" s="58"/>
      <c r="D43" s="58"/>
      <c r="E43" s="58"/>
      <c r="F43" s="58"/>
      <c r="G43" s="58"/>
      <c r="H43" s="58"/>
      <c r="I43" s="58"/>
      <c r="J43" s="60"/>
    </row>
    <row r="44" spans="1:10" ht="24" customHeight="1" x14ac:dyDescent="0.3">
      <c r="A44" s="61">
        <v>41</v>
      </c>
      <c r="B44" s="58"/>
      <c r="C44" s="58"/>
      <c r="D44" s="58"/>
      <c r="E44" s="58"/>
      <c r="F44" s="58"/>
      <c r="G44" s="58"/>
      <c r="H44" s="58"/>
      <c r="I44" s="58"/>
      <c r="J44" s="60"/>
    </row>
    <row r="45" spans="1:10" ht="24" customHeight="1" x14ac:dyDescent="0.3">
      <c r="A45" s="62">
        <v>42</v>
      </c>
      <c r="B45" s="58"/>
      <c r="C45" s="58"/>
      <c r="D45" s="58"/>
      <c r="E45" s="58"/>
      <c r="F45" s="58"/>
      <c r="G45" s="58"/>
      <c r="H45" s="58"/>
      <c r="I45" s="58"/>
      <c r="J45" s="60"/>
    </row>
    <row r="46" spans="1:10" ht="24" customHeight="1" x14ac:dyDescent="0.3">
      <c r="A46" s="61">
        <v>43</v>
      </c>
      <c r="B46" s="58"/>
      <c r="C46" s="58"/>
      <c r="D46" s="58"/>
      <c r="E46" s="58"/>
      <c r="F46" s="58"/>
      <c r="G46" s="58"/>
      <c r="H46" s="58"/>
      <c r="I46" s="58"/>
      <c r="J46" s="60"/>
    </row>
    <row r="47" spans="1:10" ht="24" customHeight="1" x14ac:dyDescent="0.3">
      <c r="A47" s="62">
        <v>44</v>
      </c>
      <c r="B47" s="58"/>
      <c r="C47" s="58"/>
      <c r="D47" s="58"/>
      <c r="E47" s="58"/>
      <c r="F47" s="58"/>
      <c r="G47" s="58"/>
      <c r="H47" s="58"/>
      <c r="I47" s="58"/>
      <c r="J47" s="60"/>
    </row>
    <row r="48" spans="1:10" ht="24" customHeight="1" x14ac:dyDescent="0.3">
      <c r="A48" s="61">
        <v>45</v>
      </c>
      <c r="B48" s="58"/>
      <c r="C48" s="58"/>
      <c r="D48" s="58"/>
      <c r="E48" s="58"/>
      <c r="F48" s="58"/>
      <c r="G48" s="58"/>
      <c r="H48" s="58"/>
      <c r="I48" s="58"/>
      <c r="J48" s="60"/>
    </row>
    <row r="49" spans="1:10" ht="24" customHeight="1" x14ac:dyDescent="0.3">
      <c r="A49" s="62">
        <v>46</v>
      </c>
      <c r="B49" s="58"/>
      <c r="C49" s="58"/>
      <c r="D49" s="58"/>
      <c r="E49" s="58"/>
      <c r="F49" s="58"/>
      <c r="G49" s="58"/>
      <c r="H49" s="58"/>
      <c r="I49" s="58"/>
      <c r="J49" s="60"/>
    </row>
    <row r="50" spans="1:10" ht="24" customHeight="1" x14ac:dyDescent="0.3">
      <c r="A50" s="61">
        <v>47</v>
      </c>
      <c r="B50" s="58"/>
      <c r="C50" s="58"/>
      <c r="D50" s="58"/>
      <c r="E50" s="58"/>
      <c r="F50" s="58"/>
      <c r="G50" s="58"/>
      <c r="H50" s="58"/>
      <c r="I50" s="58"/>
      <c r="J50" s="60"/>
    </row>
    <row r="51" spans="1:10" ht="24" customHeight="1" x14ac:dyDescent="0.3">
      <c r="A51" s="62">
        <v>48</v>
      </c>
      <c r="B51" s="58"/>
      <c r="C51" s="58"/>
      <c r="D51" s="58"/>
      <c r="E51" s="58"/>
      <c r="F51" s="58"/>
      <c r="G51" s="58"/>
      <c r="H51" s="58"/>
      <c r="I51" s="58"/>
      <c r="J51" s="60"/>
    </row>
    <row r="52" spans="1:10" ht="24" customHeight="1" x14ac:dyDescent="0.3">
      <c r="A52" s="61">
        <v>49</v>
      </c>
      <c r="B52" s="58"/>
      <c r="C52" s="58"/>
      <c r="D52" s="58"/>
      <c r="E52" s="58"/>
      <c r="F52" s="58"/>
      <c r="G52" s="58"/>
      <c r="H52" s="58"/>
      <c r="I52" s="58"/>
      <c r="J52" s="60"/>
    </row>
    <row r="53" spans="1:10" ht="24" customHeight="1" x14ac:dyDescent="0.3">
      <c r="A53" s="62">
        <v>50</v>
      </c>
      <c r="B53" s="58"/>
      <c r="C53" s="58"/>
      <c r="D53" s="58"/>
      <c r="E53" s="58"/>
      <c r="F53" s="58"/>
      <c r="G53" s="58"/>
      <c r="H53" s="58"/>
      <c r="I53" s="58"/>
      <c r="J53" s="60"/>
    </row>
    <row r="54" spans="1:10" ht="24" customHeight="1" x14ac:dyDescent="0.3">
      <c r="A54" s="61">
        <v>51</v>
      </c>
      <c r="B54" s="58"/>
      <c r="C54" s="58"/>
      <c r="D54" s="58"/>
      <c r="E54" s="58"/>
      <c r="F54" s="58"/>
      <c r="G54" s="58"/>
      <c r="H54" s="58"/>
      <c r="I54" s="58"/>
      <c r="J54" s="60"/>
    </row>
    <row r="55" spans="1:10" ht="24" customHeight="1" x14ac:dyDescent="0.3">
      <c r="A55" s="62">
        <v>52</v>
      </c>
      <c r="B55" s="58"/>
      <c r="C55" s="58"/>
      <c r="D55" s="58"/>
      <c r="E55" s="58"/>
      <c r="F55" s="58"/>
      <c r="G55" s="58"/>
      <c r="H55" s="58"/>
      <c r="I55" s="58"/>
      <c r="J55" s="60"/>
    </row>
    <row r="56" spans="1:10" ht="24" customHeight="1" x14ac:dyDescent="0.3">
      <c r="A56" s="61">
        <v>53</v>
      </c>
      <c r="B56" s="58"/>
      <c r="C56" s="58"/>
      <c r="D56" s="58"/>
      <c r="E56" s="58"/>
      <c r="F56" s="58"/>
      <c r="G56" s="58"/>
      <c r="H56" s="58"/>
      <c r="I56" s="58"/>
      <c r="J56" s="60"/>
    </row>
    <row r="57" spans="1:10" ht="24" customHeight="1" x14ac:dyDescent="0.3">
      <c r="A57" s="62">
        <v>54</v>
      </c>
      <c r="B57" s="58"/>
      <c r="C57" s="58"/>
      <c r="D57" s="58"/>
      <c r="E57" s="58"/>
      <c r="F57" s="58"/>
      <c r="G57" s="58"/>
      <c r="H57" s="58"/>
      <c r="I57" s="58"/>
      <c r="J57" s="60"/>
    </row>
    <row r="58" spans="1:10" ht="24" customHeight="1" x14ac:dyDescent="0.3">
      <c r="A58" s="61">
        <v>55</v>
      </c>
      <c r="B58" s="58"/>
      <c r="C58" s="58"/>
      <c r="D58" s="58"/>
      <c r="E58" s="58"/>
      <c r="F58" s="58"/>
      <c r="G58" s="58"/>
      <c r="H58" s="58"/>
      <c r="I58" s="58"/>
      <c r="J58" s="60"/>
    </row>
    <row r="59" spans="1:10" ht="24" customHeight="1" x14ac:dyDescent="0.3">
      <c r="A59" s="62">
        <v>56</v>
      </c>
      <c r="B59" s="58"/>
      <c r="C59" s="58"/>
      <c r="D59" s="58"/>
      <c r="E59" s="58"/>
      <c r="F59" s="58"/>
      <c r="G59" s="58"/>
      <c r="H59" s="58"/>
      <c r="I59" s="58"/>
      <c r="J59" s="60"/>
    </row>
    <row r="60" spans="1:10" ht="24" customHeight="1" x14ac:dyDescent="0.3">
      <c r="A60" s="61">
        <v>57</v>
      </c>
      <c r="B60" s="58"/>
      <c r="C60" s="58"/>
      <c r="D60" s="58"/>
      <c r="E60" s="58"/>
      <c r="F60" s="58"/>
      <c r="G60" s="58"/>
      <c r="H60" s="58"/>
      <c r="I60" s="58"/>
      <c r="J60" s="60"/>
    </row>
    <row r="61" spans="1:10" ht="24" customHeight="1" x14ac:dyDescent="0.3">
      <c r="A61" s="62">
        <v>58</v>
      </c>
      <c r="B61" s="58"/>
      <c r="C61" s="58"/>
      <c r="D61" s="58"/>
      <c r="E61" s="58"/>
      <c r="F61" s="58"/>
      <c r="G61" s="58"/>
      <c r="H61" s="58"/>
      <c r="I61" s="58"/>
      <c r="J61" s="60"/>
    </row>
    <row r="62" spans="1:10" ht="24" customHeight="1" x14ac:dyDescent="0.3">
      <c r="A62" s="61">
        <v>59</v>
      </c>
      <c r="B62" s="58"/>
      <c r="C62" s="58"/>
      <c r="D62" s="58"/>
      <c r="E62" s="58"/>
      <c r="F62" s="58"/>
      <c r="G62" s="58"/>
      <c r="H62" s="58"/>
      <c r="I62" s="58"/>
      <c r="J62" s="60"/>
    </row>
    <row r="63" spans="1:10" ht="24" customHeight="1" x14ac:dyDescent="0.3">
      <c r="A63" s="62">
        <v>60</v>
      </c>
      <c r="B63" s="58"/>
      <c r="C63" s="58"/>
      <c r="D63" s="58"/>
      <c r="E63" s="58"/>
      <c r="F63" s="58"/>
      <c r="G63" s="58"/>
      <c r="H63" s="58"/>
      <c r="I63" s="58"/>
      <c r="J63" s="60"/>
    </row>
    <row r="64" spans="1:10" ht="24" customHeight="1" x14ac:dyDescent="0.3">
      <c r="A64" s="61">
        <v>61</v>
      </c>
      <c r="B64" s="58"/>
      <c r="C64" s="58"/>
      <c r="D64" s="58"/>
      <c r="E64" s="58"/>
      <c r="F64" s="58"/>
      <c r="G64" s="58"/>
      <c r="H64" s="58"/>
      <c r="I64" s="58"/>
      <c r="J64" s="60"/>
    </row>
    <row r="65" spans="1:10" ht="24" customHeight="1" x14ac:dyDescent="0.3">
      <c r="A65" s="62">
        <v>62</v>
      </c>
      <c r="B65" s="58"/>
      <c r="C65" s="58"/>
      <c r="D65" s="58"/>
      <c r="E65" s="58"/>
      <c r="F65" s="58"/>
      <c r="G65" s="58"/>
      <c r="H65" s="58"/>
      <c r="I65" s="58"/>
      <c r="J65" s="60"/>
    </row>
    <row r="66" spans="1:10" ht="24" customHeight="1" x14ac:dyDescent="0.3">
      <c r="A66" s="61">
        <v>63</v>
      </c>
      <c r="B66" s="58"/>
      <c r="C66" s="58"/>
      <c r="D66" s="58"/>
      <c r="E66" s="58"/>
      <c r="F66" s="58"/>
      <c r="G66" s="58"/>
      <c r="H66" s="58"/>
      <c r="I66" s="58"/>
      <c r="J66" s="60"/>
    </row>
    <row r="67" spans="1:10" ht="24" customHeight="1" x14ac:dyDescent="0.3">
      <c r="A67" s="62">
        <v>64</v>
      </c>
      <c r="B67" s="58"/>
      <c r="C67" s="58"/>
      <c r="D67" s="58"/>
      <c r="E67" s="58"/>
      <c r="F67" s="58"/>
      <c r="G67" s="58"/>
      <c r="H67" s="58"/>
      <c r="I67" s="58"/>
      <c r="J67" s="60"/>
    </row>
    <row r="68" spans="1:10" ht="24" customHeight="1" x14ac:dyDescent="0.3">
      <c r="A68" s="61">
        <v>65</v>
      </c>
      <c r="B68" s="58"/>
      <c r="C68" s="58"/>
      <c r="D68" s="58"/>
      <c r="E68" s="58"/>
      <c r="F68" s="58"/>
      <c r="G68" s="58"/>
      <c r="H68" s="58"/>
      <c r="I68" s="58"/>
      <c r="J68" s="60"/>
    </row>
    <row r="69" spans="1:10" ht="24" customHeight="1" x14ac:dyDescent="0.3">
      <c r="A69" s="62">
        <v>66</v>
      </c>
      <c r="B69" s="58"/>
      <c r="C69" s="58"/>
      <c r="D69" s="58"/>
      <c r="E69" s="58"/>
      <c r="F69" s="58"/>
      <c r="G69" s="58"/>
      <c r="H69" s="58"/>
      <c r="I69" s="58"/>
      <c r="J69" s="60"/>
    </row>
    <row r="70" spans="1:10" ht="24" customHeight="1" x14ac:dyDescent="0.3">
      <c r="A70" s="61">
        <v>67</v>
      </c>
      <c r="B70" s="58"/>
      <c r="C70" s="58"/>
      <c r="D70" s="58"/>
      <c r="E70" s="58"/>
      <c r="F70" s="58"/>
      <c r="G70" s="58"/>
      <c r="H70" s="58"/>
      <c r="I70" s="58"/>
      <c r="J70" s="60"/>
    </row>
    <row r="71" spans="1:10" ht="24" customHeight="1" x14ac:dyDescent="0.3">
      <c r="A71" s="62">
        <v>68</v>
      </c>
      <c r="B71" s="58"/>
      <c r="C71" s="58"/>
      <c r="D71" s="58"/>
      <c r="E71" s="58"/>
      <c r="F71" s="58"/>
      <c r="G71" s="58"/>
      <c r="H71" s="58"/>
      <c r="I71" s="58"/>
      <c r="J71" s="60"/>
    </row>
    <row r="72" spans="1:10" ht="24" customHeight="1" x14ac:dyDescent="0.3">
      <c r="A72" s="61">
        <v>69</v>
      </c>
      <c r="B72" s="58"/>
      <c r="C72" s="58"/>
      <c r="D72" s="58"/>
      <c r="E72" s="58"/>
      <c r="F72" s="58"/>
      <c r="G72" s="58"/>
      <c r="H72" s="58"/>
      <c r="I72" s="58"/>
      <c r="J72" s="60"/>
    </row>
    <row r="73" spans="1:10" ht="24" customHeight="1" x14ac:dyDescent="0.3">
      <c r="A73" s="62">
        <v>70</v>
      </c>
      <c r="B73" s="58"/>
      <c r="C73" s="58"/>
      <c r="D73" s="58"/>
      <c r="E73" s="58"/>
      <c r="F73" s="58"/>
      <c r="G73" s="58"/>
      <c r="H73" s="58"/>
      <c r="I73" s="58"/>
      <c r="J73" s="60"/>
    </row>
    <row r="74" spans="1:10" ht="24" customHeight="1" x14ac:dyDescent="0.3">
      <c r="A74" s="61">
        <v>71</v>
      </c>
      <c r="B74" s="58"/>
      <c r="C74" s="58"/>
      <c r="D74" s="58"/>
      <c r="E74" s="58"/>
      <c r="F74" s="58"/>
      <c r="G74" s="58"/>
      <c r="H74" s="58"/>
      <c r="I74" s="58"/>
      <c r="J74" s="60"/>
    </row>
    <row r="75" spans="1:10" ht="24" customHeight="1" x14ac:dyDescent="0.3">
      <c r="A75" s="62">
        <v>72</v>
      </c>
      <c r="B75" s="58"/>
      <c r="C75" s="58"/>
      <c r="D75" s="58"/>
      <c r="E75" s="58"/>
      <c r="F75" s="58"/>
      <c r="G75" s="58"/>
      <c r="H75" s="58"/>
      <c r="I75" s="58"/>
      <c r="J75" s="60"/>
    </row>
    <row r="76" spans="1:10" ht="24" customHeight="1" x14ac:dyDescent="0.3">
      <c r="A76" s="61">
        <v>73</v>
      </c>
      <c r="B76" s="58"/>
      <c r="C76" s="58"/>
      <c r="D76" s="58"/>
      <c r="E76" s="58"/>
      <c r="F76" s="58"/>
      <c r="G76" s="58"/>
      <c r="H76" s="58"/>
      <c r="I76" s="58"/>
      <c r="J76" s="60"/>
    </row>
    <row r="77" spans="1:10" ht="24" customHeight="1" x14ac:dyDescent="0.3">
      <c r="A77" s="62">
        <v>74</v>
      </c>
      <c r="B77" s="58"/>
      <c r="C77" s="58"/>
      <c r="D77" s="58"/>
      <c r="E77" s="58"/>
      <c r="F77" s="58"/>
      <c r="G77" s="58"/>
      <c r="H77" s="58"/>
      <c r="I77" s="58"/>
      <c r="J77" s="60"/>
    </row>
    <row r="78" spans="1:10" x14ac:dyDescent="0.3">
      <c r="A78" s="61">
        <v>75</v>
      </c>
      <c r="B78" s="58"/>
      <c r="C78" s="58"/>
      <c r="D78" s="58"/>
      <c r="E78" s="58"/>
      <c r="F78" s="58"/>
      <c r="G78" s="58"/>
      <c r="H78" s="58"/>
      <c r="I78" s="58"/>
      <c r="J78" s="60"/>
    </row>
    <row r="79" spans="1:10" x14ac:dyDescent="0.3">
      <c r="A79" s="62">
        <v>76</v>
      </c>
      <c r="B79" s="58"/>
      <c r="C79" s="58"/>
      <c r="D79" s="58"/>
      <c r="E79" s="58"/>
      <c r="F79" s="58"/>
      <c r="G79" s="58"/>
      <c r="H79" s="58"/>
      <c r="I79" s="58"/>
      <c r="J79" s="60"/>
    </row>
    <row r="80" spans="1:10" x14ac:dyDescent="0.3">
      <c r="A80" s="61">
        <v>77</v>
      </c>
      <c r="B80" s="58"/>
      <c r="C80" s="58"/>
      <c r="D80" s="58"/>
      <c r="E80" s="58"/>
      <c r="F80" s="58"/>
      <c r="G80" s="58"/>
      <c r="H80" s="58"/>
      <c r="I80" s="58"/>
      <c r="J80" s="60"/>
    </row>
    <row r="81" spans="1:10" x14ac:dyDescent="0.3">
      <c r="A81" s="62">
        <v>78</v>
      </c>
      <c r="B81" s="58"/>
      <c r="C81" s="58"/>
      <c r="D81" s="58"/>
      <c r="E81" s="58"/>
      <c r="F81" s="58"/>
      <c r="G81" s="58"/>
      <c r="H81" s="58"/>
      <c r="I81" s="58"/>
      <c r="J81" s="60"/>
    </row>
    <row r="82" spans="1:10" x14ac:dyDescent="0.3">
      <c r="A82" s="61">
        <v>79</v>
      </c>
      <c r="B82" s="58"/>
      <c r="C82" s="58"/>
      <c r="D82" s="58"/>
      <c r="E82" s="58"/>
      <c r="F82" s="58"/>
      <c r="G82" s="58"/>
      <c r="H82" s="58"/>
      <c r="I82" s="58"/>
      <c r="J82" s="60"/>
    </row>
    <row r="83" spans="1:10" x14ac:dyDescent="0.3">
      <c r="A83" s="62">
        <v>80</v>
      </c>
      <c r="B83" s="58"/>
      <c r="C83" s="58"/>
      <c r="D83" s="58"/>
      <c r="E83" s="58"/>
      <c r="F83" s="58"/>
      <c r="G83" s="58"/>
      <c r="H83" s="58"/>
      <c r="I83" s="58"/>
      <c r="J83" s="60"/>
    </row>
    <row r="84" spans="1:10" x14ac:dyDescent="0.3">
      <c r="A84" s="61">
        <v>81</v>
      </c>
      <c r="B84" s="58"/>
      <c r="C84" s="58"/>
      <c r="D84" s="58"/>
      <c r="E84" s="58"/>
      <c r="F84" s="58"/>
      <c r="G84" s="58"/>
      <c r="H84" s="58"/>
      <c r="I84" s="58"/>
      <c r="J84" s="60"/>
    </row>
    <row r="85" spans="1:10" x14ac:dyDescent="0.3">
      <c r="A85" s="62">
        <v>82</v>
      </c>
      <c r="B85" s="58"/>
      <c r="C85" s="58"/>
      <c r="D85" s="58"/>
      <c r="E85" s="58"/>
      <c r="F85" s="58"/>
      <c r="G85" s="58"/>
      <c r="H85" s="58"/>
      <c r="I85" s="58"/>
      <c r="J85" s="60"/>
    </row>
    <row r="86" spans="1:10" x14ac:dyDescent="0.3">
      <c r="A86" s="61">
        <v>83</v>
      </c>
      <c r="B86" s="58"/>
      <c r="C86" s="58"/>
      <c r="D86" s="58"/>
      <c r="E86" s="58"/>
      <c r="F86" s="58"/>
      <c r="G86" s="58"/>
      <c r="H86" s="58"/>
      <c r="I86" s="58"/>
      <c r="J86" s="60"/>
    </row>
    <row r="87" spans="1:10" x14ac:dyDescent="0.3">
      <c r="A87" s="62">
        <v>84</v>
      </c>
      <c r="B87" s="58"/>
      <c r="C87" s="58"/>
      <c r="D87" s="58"/>
      <c r="E87" s="58"/>
      <c r="F87" s="58"/>
      <c r="G87" s="58"/>
      <c r="H87" s="58"/>
      <c r="I87" s="58"/>
      <c r="J87" s="60"/>
    </row>
    <row r="88" spans="1:10" x14ac:dyDescent="0.3">
      <c r="A88" s="61">
        <v>85</v>
      </c>
      <c r="B88" s="58"/>
      <c r="C88" s="58"/>
      <c r="D88" s="58"/>
      <c r="E88" s="58"/>
      <c r="F88" s="58"/>
      <c r="G88" s="58"/>
      <c r="H88" s="58"/>
      <c r="I88" s="58"/>
      <c r="J88" s="60"/>
    </row>
    <row r="89" spans="1:10" x14ac:dyDescent="0.3">
      <c r="A89" s="62">
        <v>86</v>
      </c>
      <c r="B89" s="58"/>
      <c r="C89" s="58"/>
      <c r="D89" s="58"/>
      <c r="E89" s="58"/>
      <c r="F89" s="58"/>
      <c r="G89" s="58"/>
      <c r="H89" s="58"/>
      <c r="I89" s="58"/>
      <c r="J89" s="60"/>
    </row>
    <row r="90" spans="1:10" x14ac:dyDescent="0.3">
      <c r="A90" s="61">
        <v>87</v>
      </c>
      <c r="B90" s="58"/>
      <c r="C90" s="58"/>
      <c r="D90" s="58"/>
      <c r="E90" s="58"/>
      <c r="F90" s="58"/>
      <c r="G90" s="58"/>
      <c r="H90" s="58"/>
      <c r="I90" s="58"/>
      <c r="J90" s="60"/>
    </row>
    <row r="91" spans="1:10" x14ac:dyDescent="0.3">
      <c r="A91" s="62">
        <v>88</v>
      </c>
      <c r="B91" s="58"/>
      <c r="C91" s="58"/>
      <c r="D91" s="58"/>
      <c r="E91" s="58"/>
      <c r="F91" s="58"/>
      <c r="G91" s="58"/>
      <c r="H91" s="58"/>
      <c r="I91" s="58"/>
      <c r="J91" s="60"/>
    </row>
    <row r="92" spans="1:10" x14ac:dyDescent="0.3">
      <c r="A92" s="61">
        <v>89</v>
      </c>
      <c r="B92" s="58"/>
      <c r="C92" s="58"/>
      <c r="D92" s="58"/>
      <c r="E92" s="58"/>
      <c r="F92" s="58"/>
      <c r="G92" s="58"/>
      <c r="H92" s="58"/>
      <c r="I92" s="58"/>
      <c r="J92" s="60"/>
    </row>
    <row r="93" spans="1:10" x14ac:dyDescent="0.3">
      <c r="A93" s="62">
        <v>90</v>
      </c>
      <c r="B93" s="58"/>
      <c r="C93" s="58"/>
      <c r="D93" s="58"/>
      <c r="E93" s="58"/>
      <c r="F93" s="58"/>
      <c r="G93" s="58"/>
      <c r="H93" s="58"/>
      <c r="I93" s="58"/>
      <c r="J93" s="60"/>
    </row>
    <row r="94" spans="1:10" x14ac:dyDescent="0.3">
      <c r="A94" s="61">
        <v>91</v>
      </c>
      <c r="B94" s="58"/>
      <c r="C94" s="58"/>
      <c r="D94" s="58"/>
      <c r="E94" s="58"/>
      <c r="F94" s="58"/>
      <c r="G94" s="58"/>
      <c r="H94" s="58"/>
      <c r="I94" s="58"/>
      <c r="J94" s="60"/>
    </row>
    <row r="95" spans="1:10" x14ac:dyDescent="0.3">
      <c r="A95" s="62">
        <v>92</v>
      </c>
      <c r="B95" s="58"/>
      <c r="C95" s="58"/>
      <c r="D95" s="58"/>
      <c r="E95" s="58"/>
      <c r="F95" s="58"/>
      <c r="G95" s="58"/>
      <c r="H95" s="58"/>
      <c r="I95" s="58"/>
      <c r="J95" s="60"/>
    </row>
    <row r="96" spans="1:10" x14ac:dyDescent="0.3">
      <c r="A96" s="61">
        <v>93</v>
      </c>
      <c r="B96" s="58"/>
      <c r="C96" s="58"/>
      <c r="D96" s="58"/>
      <c r="E96" s="58"/>
      <c r="F96" s="58"/>
      <c r="G96" s="58"/>
      <c r="H96" s="58"/>
      <c r="I96" s="58"/>
      <c r="J96" s="60"/>
    </row>
    <row r="97" spans="1:10" x14ac:dyDescent="0.3">
      <c r="A97" s="62">
        <v>94</v>
      </c>
      <c r="B97" s="58"/>
      <c r="C97" s="58"/>
      <c r="D97" s="58"/>
      <c r="E97" s="58"/>
      <c r="F97" s="58"/>
      <c r="G97" s="58"/>
      <c r="H97" s="58"/>
      <c r="I97" s="58"/>
      <c r="J97" s="60"/>
    </row>
    <row r="98" spans="1:10" x14ac:dyDescent="0.3">
      <c r="A98" s="61">
        <v>95</v>
      </c>
      <c r="B98" s="58"/>
      <c r="C98" s="58"/>
      <c r="D98" s="58"/>
      <c r="E98" s="58"/>
      <c r="F98" s="58"/>
      <c r="G98" s="58"/>
      <c r="H98" s="58"/>
      <c r="I98" s="58"/>
      <c r="J98" s="60"/>
    </row>
    <row r="99" spans="1:10" x14ac:dyDescent="0.3">
      <c r="A99" s="62">
        <v>96</v>
      </c>
      <c r="B99" s="58"/>
      <c r="C99" s="58"/>
      <c r="D99" s="58"/>
      <c r="E99" s="58"/>
      <c r="F99" s="58"/>
      <c r="G99" s="58"/>
      <c r="H99" s="58"/>
      <c r="I99" s="58"/>
      <c r="J99" s="60"/>
    </row>
    <row r="100" spans="1:10" x14ac:dyDescent="0.3">
      <c r="A100" s="61">
        <v>97</v>
      </c>
      <c r="B100" s="58"/>
      <c r="C100" s="58"/>
      <c r="D100" s="58"/>
      <c r="E100" s="58"/>
      <c r="F100" s="58"/>
      <c r="G100" s="58"/>
      <c r="H100" s="58"/>
      <c r="I100" s="58"/>
      <c r="J100" s="60"/>
    </row>
    <row r="101" spans="1:10" x14ac:dyDescent="0.3">
      <c r="A101" s="58"/>
      <c r="B101" s="58"/>
      <c r="C101" s="58"/>
      <c r="D101" s="58"/>
      <c r="E101" s="58"/>
      <c r="F101" s="58"/>
      <c r="G101" s="58"/>
      <c r="H101" s="58"/>
      <c r="I101" s="58"/>
      <c r="J101" s="60"/>
    </row>
    <row r="102" spans="1:10" x14ac:dyDescent="0.3">
      <c r="A102" s="58"/>
      <c r="B102" s="58"/>
      <c r="C102" s="58"/>
      <c r="D102" s="58"/>
      <c r="E102" s="58"/>
      <c r="F102" s="58"/>
      <c r="G102" s="58"/>
      <c r="H102" s="58"/>
      <c r="I102" s="58"/>
      <c r="J102" s="60"/>
    </row>
    <row r="103" spans="1:10" x14ac:dyDescent="0.3">
      <c r="A103" s="58"/>
      <c r="B103" s="58"/>
      <c r="C103" s="58"/>
      <c r="D103" s="58"/>
      <c r="E103" s="58"/>
      <c r="F103" s="58"/>
      <c r="G103" s="58"/>
      <c r="H103" s="58"/>
      <c r="I103" s="58"/>
      <c r="J103" s="60"/>
    </row>
    <row r="104" spans="1:10" x14ac:dyDescent="0.3">
      <c r="A104" s="58"/>
      <c r="B104" s="58"/>
      <c r="C104" s="58"/>
      <c r="D104" s="58"/>
      <c r="E104" s="58"/>
      <c r="F104" s="58"/>
      <c r="G104" s="58"/>
      <c r="H104" s="58"/>
      <c r="I104" s="58"/>
      <c r="J104" s="60"/>
    </row>
    <row r="105" spans="1:10" x14ac:dyDescent="0.3">
      <c r="A105" s="58"/>
      <c r="B105" s="58"/>
      <c r="C105" s="58"/>
      <c r="D105" s="58"/>
      <c r="E105" s="58"/>
      <c r="F105" s="58"/>
      <c r="G105" s="58"/>
      <c r="H105" s="58"/>
      <c r="I105" s="58"/>
      <c r="J105" s="60"/>
    </row>
    <row r="106" spans="1:10" x14ac:dyDescent="0.3">
      <c r="A106" s="59"/>
      <c r="B106" s="59"/>
      <c r="C106" s="59"/>
      <c r="D106" s="59"/>
      <c r="E106" s="59"/>
      <c r="F106" s="59"/>
      <c r="G106" s="59"/>
      <c r="H106" s="59"/>
      <c r="I106" s="59"/>
      <c r="J106" s="60"/>
    </row>
  </sheetData>
  <mergeCells count="1">
    <mergeCell ref="A1:I1"/>
  </mergeCells>
  <phoneticPr fontId="6"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O28"/>
  <sheetViews>
    <sheetView view="pageBreakPreview" zoomScaleNormal="100" zoomScaleSheetLayoutView="100" workbookViewId="0">
      <pane ySplit="2" topLeftCell="A3" activePane="bottomLeft" state="frozen"/>
      <selection pane="bottomLeft" activeCell="C4" sqref="C4"/>
    </sheetView>
  </sheetViews>
  <sheetFormatPr defaultColWidth="9.140625" defaultRowHeight="18.75" x14ac:dyDescent="0.3"/>
  <cols>
    <col min="1" max="1" width="9.140625" style="1"/>
    <col min="2" max="2" width="24.5703125" style="1" customWidth="1"/>
    <col min="3" max="3" width="20.85546875" style="1" customWidth="1"/>
    <col min="4" max="4" width="22.42578125" style="1" customWidth="1"/>
    <col min="5" max="5" width="18.42578125" style="1" customWidth="1"/>
    <col min="6" max="6" width="20.5703125" style="1" customWidth="1"/>
    <col min="7" max="7" width="22.85546875" style="1" customWidth="1"/>
    <col min="8" max="16384" width="9.140625" style="1"/>
  </cols>
  <sheetData>
    <row r="1" spans="1:15" ht="11.25" customHeight="1" x14ac:dyDescent="0.3"/>
    <row r="2" spans="1:15" ht="22.5" x14ac:dyDescent="0.3">
      <c r="A2" s="118" t="s">
        <v>0</v>
      </c>
      <c r="B2" s="118"/>
      <c r="C2" s="118"/>
      <c r="D2" s="118"/>
      <c r="E2" s="118"/>
      <c r="F2" s="118"/>
      <c r="G2" s="118"/>
    </row>
    <row r="3" spans="1:15" ht="9" customHeight="1" x14ac:dyDescent="0.3"/>
    <row r="4" spans="1:15" s="11" customFormat="1" ht="16.5" x14ac:dyDescent="0.25">
      <c r="A4" s="122" t="s">
        <v>11</v>
      </c>
      <c r="B4" s="122"/>
      <c r="C4" s="3" t="s">
        <v>221</v>
      </c>
      <c r="F4" s="3" t="str">
        <f>LEFT(C4,15)</f>
        <v>1810GP1025/225C</v>
      </c>
    </row>
    <row r="5" spans="1:15" s="11" customFormat="1" ht="16.5" x14ac:dyDescent="0.25">
      <c r="A5" s="123" t="s">
        <v>1</v>
      </c>
      <c r="B5" s="123"/>
      <c r="C5" s="14" t="s">
        <v>15</v>
      </c>
      <c r="D5" s="3" t="str">
        <f>UPPER(C5)</f>
        <v>TRẦN VĂN DƯƠNG</v>
      </c>
      <c r="E5" s="3"/>
      <c r="F5" s="3"/>
      <c r="G5" s="3"/>
      <c r="H5" s="3"/>
      <c r="I5" s="3"/>
      <c r="J5" s="3"/>
      <c r="K5" s="3"/>
      <c r="L5" s="3"/>
      <c r="M5" s="3"/>
      <c r="N5" s="3"/>
      <c r="O5" s="3"/>
    </row>
    <row r="6" spans="1:15" s="11" customFormat="1" ht="16.5" x14ac:dyDescent="0.25"/>
    <row r="7" spans="1:15" s="11" customFormat="1" ht="16.5" x14ac:dyDescent="0.25">
      <c r="B7" s="15" t="s">
        <v>2</v>
      </c>
      <c r="C7" s="69"/>
      <c r="D7" s="39" t="str">
        <f>PROPER(C7)</f>
        <v/>
      </c>
      <c r="E7" s="15"/>
      <c r="F7" s="15"/>
      <c r="G7" s="85"/>
    </row>
    <row r="8" spans="1:15" s="11" customFormat="1" ht="16.5" x14ac:dyDescent="0.25">
      <c r="B8" s="15" t="s">
        <v>3</v>
      </c>
      <c r="C8" s="87"/>
      <c r="D8" s="15"/>
      <c r="E8" s="15"/>
      <c r="F8" s="15"/>
      <c r="G8" s="15"/>
    </row>
    <row r="9" spans="1:15" s="11" customFormat="1" ht="16.5" x14ac:dyDescent="0.25">
      <c r="B9" s="15" t="s">
        <v>21</v>
      </c>
      <c r="C9" s="108" t="s">
        <v>222</v>
      </c>
      <c r="D9" s="16" t="s">
        <v>20</v>
      </c>
      <c r="E9" s="17"/>
      <c r="F9" s="15" t="s">
        <v>141</v>
      </c>
      <c r="G9" s="85"/>
    </row>
    <row r="10" spans="1:15" s="11" customFormat="1" ht="16.5" x14ac:dyDescent="0.25">
      <c r="B10" s="15" t="s">
        <v>4</v>
      </c>
      <c r="C10" s="17"/>
      <c r="D10" s="15"/>
      <c r="E10" s="114"/>
      <c r="F10" s="15"/>
      <c r="G10" s="15"/>
    </row>
    <row r="11" spans="1:15" s="11" customFormat="1" ht="16.5" x14ac:dyDescent="0.25">
      <c r="B11" s="15" t="s">
        <v>5</v>
      </c>
      <c r="C11" s="15"/>
      <c r="D11" s="15"/>
      <c r="E11" s="115"/>
      <c r="F11" s="15"/>
      <c r="G11" s="15"/>
    </row>
    <row r="12" spans="1:15" s="11" customFormat="1" ht="16.5" x14ac:dyDescent="0.25">
      <c r="B12" s="15" t="s">
        <v>7</v>
      </c>
      <c r="C12" s="17"/>
      <c r="D12" s="16" t="s">
        <v>8</v>
      </c>
      <c r="E12" s="17" t="s">
        <v>22</v>
      </c>
      <c r="F12" s="16" t="s">
        <v>9</v>
      </c>
      <c r="G12" s="17" t="s">
        <v>160</v>
      </c>
    </row>
    <row r="13" spans="1:15" s="11" customFormat="1" ht="16.5" x14ac:dyDescent="0.25">
      <c r="B13" s="15" t="s">
        <v>6</v>
      </c>
      <c r="C13" s="17"/>
      <c r="D13" s="15"/>
      <c r="E13" s="15"/>
      <c r="F13" s="15"/>
      <c r="G13" s="15"/>
    </row>
    <row r="14" spans="1:15" s="11" customFormat="1" ht="16.5" x14ac:dyDescent="0.25">
      <c r="B14" s="15" t="s">
        <v>10</v>
      </c>
      <c r="C14" s="106" t="s">
        <v>222</v>
      </c>
      <c r="D14" s="15"/>
      <c r="E14" s="15"/>
      <c r="F14" s="15"/>
      <c r="G14" s="15"/>
    </row>
    <row r="15" spans="1:15" s="11" customFormat="1" ht="16.5" x14ac:dyDescent="0.25">
      <c r="B15" s="15" t="s">
        <v>146</v>
      </c>
      <c r="C15" s="106" t="s">
        <v>222</v>
      </c>
      <c r="D15" s="15"/>
      <c r="E15" s="15"/>
      <c r="F15" s="15"/>
      <c r="G15" s="15"/>
    </row>
    <row r="16" spans="1:15" s="11" customFormat="1" ht="16.5" x14ac:dyDescent="0.25">
      <c r="B16" s="15" t="s">
        <v>25</v>
      </c>
      <c r="C16" s="65"/>
      <c r="D16" s="15"/>
      <c r="E16" s="119"/>
      <c r="F16" s="120"/>
      <c r="G16" s="121"/>
    </row>
    <row r="17" spans="1:7" s="11" customFormat="1" ht="16.5" x14ac:dyDescent="0.25">
      <c r="B17" s="18"/>
      <c r="C17" s="96"/>
      <c r="D17" s="15"/>
      <c r="E17" s="97"/>
      <c r="F17" s="98"/>
      <c r="G17" s="99"/>
    </row>
    <row r="18" spans="1:7" s="11" customFormat="1" ht="16.5" x14ac:dyDescent="0.25">
      <c r="B18" s="100" t="s">
        <v>208</v>
      </c>
      <c r="C18" s="100" t="s">
        <v>210</v>
      </c>
      <c r="D18" s="100" t="s">
        <v>211</v>
      </c>
      <c r="E18" s="100" t="s">
        <v>214</v>
      </c>
      <c r="F18" s="110" t="s">
        <v>219</v>
      </c>
      <c r="G18" s="110" t="s">
        <v>220</v>
      </c>
    </row>
    <row r="19" spans="1:7" s="11" customFormat="1" ht="16.5" x14ac:dyDescent="0.25">
      <c r="B19" s="103" t="s">
        <v>222</v>
      </c>
      <c r="C19" s="103" t="s">
        <v>222</v>
      </c>
      <c r="D19" s="104" t="s">
        <v>222</v>
      </c>
      <c r="E19" s="103" t="s">
        <v>222</v>
      </c>
      <c r="F19" s="111" t="s">
        <v>222</v>
      </c>
      <c r="G19" s="112" t="s">
        <v>222</v>
      </c>
    </row>
    <row r="20" spans="1:7" s="11" customFormat="1" ht="16.5" x14ac:dyDescent="0.25">
      <c r="B20" s="103" t="s">
        <v>209</v>
      </c>
      <c r="C20" s="103" t="s">
        <v>213</v>
      </c>
      <c r="D20" s="103" t="s">
        <v>212</v>
      </c>
      <c r="E20" s="103"/>
      <c r="F20" s="111"/>
      <c r="G20" s="111"/>
    </row>
    <row r="21" spans="1:7" s="11" customFormat="1" ht="16.5" x14ac:dyDescent="0.25">
      <c r="B21" s="103" t="s">
        <v>222</v>
      </c>
      <c r="C21" s="103" t="s">
        <v>222</v>
      </c>
      <c r="D21" s="104" t="s">
        <v>222</v>
      </c>
      <c r="E21" s="105"/>
      <c r="F21" s="111"/>
      <c r="G21" s="112"/>
    </row>
    <row r="22" spans="1:7" x14ac:dyDescent="0.3">
      <c r="B22" s="7"/>
      <c r="C22" s="19"/>
      <c r="D22" s="5"/>
      <c r="E22" s="101"/>
      <c r="F22" s="102"/>
      <c r="G22" s="102"/>
    </row>
    <row r="23" spans="1:7" x14ac:dyDescent="0.3">
      <c r="B23" s="7"/>
      <c r="C23" s="6" t="s">
        <v>158</v>
      </c>
      <c r="D23" s="5"/>
      <c r="E23" s="5"/>
      <c r="F23" s="5"/>
      <c r="G23" s="5"/>
    </row>
    <row r="24" spans="1:7" s="11" customFormat="1" ht="18.75" customHeight="1" x14ac:dyDescent="0.25">
      <c r="A24" s="8"/>
      <c r="B24" s="9"/>
      <c r="C24" s="10"/>
      <c r="D24" s="10"/>
      <c r="E24" s="72"/>
      <c r="F24" s="36"/>
      <c r="G24" s="9"/>
    </row>
    <row r="25" spans="1:7" s="11" customFormat="1" ht="16.5" x14ac:dyDescent="0.25">
      <c r="A25" s="12"/>
      <c r="B25" s="13"/>
      <c r="C25" s="64"/>
      <c r="D25" s="14"/>
      <c r="E25" s="34"/>
      <c r="F25" s="35"/>
      <c r="G25" s="34"/>
    </row>
    <row r="26" spans="1:7" s="11" customFormat="1" ht="16.5" x14ac:dyDescent="0.25">
      <c r="A26" s="12"/>
      <c r="B26" s="13"/>
      <c r="C26" s="64"/>
      <c r="D26" s="13" t="s">
        <v>207</v>
      </c>
      <c r="E26" s="13"/>
      <c r="F26" s="36"/>
      <c r="G26" s="36"/>
    </row>
    <row r="27" spans="1:7" s="11" customFormat="1" ht="16.5" x14ac:dyDescent="0.25">
      <c r="A27" s="12"/>
      <c r="B27" s="13"/>
      <c r="C27" s="36"/>
      <c r="D27" s="36" t="s">
        <v>14</v>
      </c>
      <c r="E27" s="36"/>
      <c r="F27" s="73"/>
      <c r="G27" s="36"/>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7030A0"/>
  </sheetPr>
  <dimension ref="A2:M44"/>
  <sheetViews>
    <sheetView view="pageBreakPreview" topLeftCell="A19" zoomScaleNormal="100" zoomScaleSheetLayoutView="100" workbookViewId="0">
      <selection activeCell="A14" sqref="A14:M14"/>
    </sheetView>
  </sheetViews>
  <sheetFormatPr defaultColWidth="9.140625" defaultRowHeight="15" x14ac:dyDescent="0.25"/>
  <cols>
    <col min="1" max="1" width="11.85546875" style="22" customWidth="1"/>
    <col min="2" max="2" width="1.85546875" style="22" customWidth="1"/>
    <col min="3" max="3" width="4.28515625" style="22" customWidth="1"/>
    <col min="4" max="4" width="2.42578125" style="22" customWidth="1"/>
    <col min="5" max="5" width="7.85546875" style="22" customWidth="1"/>
    <col min="6" max="7" width="9.140625" style="22"/>
    <col min="8" max="8" width="3.42578125" style="22" customWidth="1"/>
    <col min="9" max="9" width="9.5703125" style="22" customWidth="1"/>
    <col min="10" max="10" width="9.140625" style="22"/>
    <col min="11" max="12" width="5.85546875" style="22" customWidth="1"/>
    <col min="13" max="13" width="13" style="22" customWidth="1"/>
    <col min="14" max="16384" width="9.140625" style="22"/>
  </cols>
  <sheetData>
    <row r="2" spans="1:13" ht="17.25" x14ac:dyDescent="0.25">
      <c r="A2" s="139" t="s">
        <v>38</v>
      </c>
      <c r="B2" s="139"/>
      <c r="C2" s="139"/>
      <c r="D2" s="139"/>
      <c r="E2" s="139"/>
      <c r="F2" s="139"/>
      <c r="G2" s="68" t="s">
        <v>16</v>
      </c>
      <c r="H2" s="68"/>
      <c r="I2" s="68"/>
      <c r="J2" s="68"/>
      <c r="K2" s="68"/>
      <c r="L2" s="68"/>
      <c r="M2" s="68"/>
    </row>
    <row r="3" spans="1:13" ht="17.25" x14ac:dyDescent="0.25">
      <c r="A3" s="140" t="s">
        <v>39</v>
      </c>
      <c r="B3" s="140"/>
      <c r="C3" s="140"/>
      <c r="D3" s="140"/>
      <c r="E3" s="140"/>
      <c r="F3" s="140"/>
      <c r="G3" s="141" t="s">
        <v>147</v>
      </c>
      <c r="H3" s="141"/>
      <c r="I3" s="141"/>
      <c r="J3" s="141"/>
      <c r="K3" s="141"/>
      <c r="L3" s="141"/>
      <c r="M3" s="141"/>
    </row>
    <row r="5" spans="1:13" ht="18.75" x14ac:dyDescent="0.3">
      <c r="A5" s="133"/>
      <c r="B5" s="133"/>
      <c r="C5" s="133"/>
      <c r="D5" s="133"/>
      <c r="E5" s="133"/>
      <c r="F5" s="133"/>
      <c r="G5" s="142" t="str">
        <f>"Quảng Ninh, ngày " &amp;LEFT(TTCHUNG!C15,2) &amp;" tháng " &amp; MID(TTCHUNG!C15,4,2) &amp;" năm 2026"</f>
        <v>Quảng Ninh, ngày  tháng  năm 2026</v>
      </c>
      <c r="H5" s="142"/>
      <c r="I5" s="142"/>
      <c r="J5" s="142"/>
      <c r="K5" s="142"/>
      <c r="L5" s="142"/>
      <c r="M5" s="142"/>
    </row>
    <row r="6" spans="1:13" ht="18.75" x14ac:dyDescent="0.3">
      <c r="A6" s="40"/>
      <c r="B6" s="40"/>
      <c r="C6" s="40"/>
      <c r="D6" s="40"/>
      <c r="E6" s="40"/>
      <c r="F6" s="41"/>
      <c r="G6" s="41"/>
      <c r="H6" s="41"/>
      <c r="I6" s="41"/>
      <c r="J6" s="41"/>
      <c r="K6" s="41"/>
      <c r="L6" s="41"/>
      <c r="M6" s="41"/>
    </row>
    <row r="7" spans="1:13" ht="18.75" x14ac:dyDescent="0.25">
      <c r="A7" s="143" t="s">
        <v>17</v>
      </c>
      <c r="B7" s="143"/>
      <c r="C7" s="143"/>
      <c r="D7" s="143"/>
      <c r="E7" s="143"/>
      <c r="F7" s="143"/>
      <c r="G7" s="143"/>
      <c r="H7" s="143"/>
      <c r="I7" s="143"/>
      <c r="J7" s="143"/>
      <c r="K7" s="143"/>
      <c r="L7" s="143"/>
      <c r="M7" s="143"/>
    </row>
    <row r="8" spans="1:13" ht="18.75" x14ac:dyDescent="0.3">
      <c r="A8" s="138" t="s">
        <v>183</v>
      </c>
      <c r="B8" s="125"/>
      <c r="C8" s="125"/>
      <c r="D8" s="125"/>
      <c r="E8" s="125"/>
      <c r="F8" s="125"/>
      <c r="G8" s="125"/>
      <c r="H8" s="125"/>
      <c r="I8" s="125"/>
      <c r="J8" s="125"/>
      <c r="K8" s="125"/>
      <c r="L8" s="125"/>
      <c r="M8" s="125"/>
    </row>
    <row r="9" spans="1:13" ht="18.75" x14ac:dyDescent="0.3">
      <c r="A9" s="95"/>
      <c r="B9" s="20"/>
      <c r="C9" s="20"/>
      <c r="D9" s="20"/>
      <c r="E9" s="20"/>
      <c r="F9" s="20"/>
      <c r="G9" s="20"/>
      <c r="H9" s="20"/>
      <c r="I9" s="20"/>
      <c r="J9" s="20"/>
      <c r="K9" s="20"/>
      <c r="L9" s="20"/>
      <c r="M9" s="20"/>
    </row>
    <row r="10" spans="1:13" ht="18.75" customHeight="1" x14ac:dyDescent="0.25">
      <c r="A10" s="127" t="str">
        <f>"           Hồi ....., giờ..... phút, ngày "&amp;TTCHUNG!C15&amp;" tại Trại tạm giam Công an tỉnh Quảng Ninh. Chúng tôi gồm:"</f>
        <v xml:space="preserve">           Hồi ....., giờ..... phút, ngày  tại Trại tạm giam Công an tỉnh Quảng Ninh. Chúng tôi gồm:</v>
      </c>
      <c r="B10" s="127"/>
      <c r="C10" s="127"/>
      <c r="D10" s="127"/>
      <c r="E10" s="127"/>
      <c r="F10" s="127"/>
      <c r="G10" s="127"/>
      <c r="H10" s="127"/>
      <c r="I10" s="127"/>
      <c r="J10" s="127"/>
      <c r="K10" s="127"/>
      <c r="L10" s="127"/>
      <c r="M10" s="127"/>
    </row>
    <row r="11" spans="1:13" ht="18.75" customHeight="1" x14ac:dyDescent="0.25">
      <c r="A11" s="127"/>
      <c r="B11" s="127"/>
      <c r="C11" s="127"/>
      <c r="D11" s="127"/>
      <c r="E11" s="127"/>
      <c r="F11" s="127"/>
      <c r="G11" s="127"/>
      <c r="H11" s="127"/>
      <c r="I11" s="127"/>
      <c r="J11" s="127"/>
      <c r="K11" s="127"/>
      <c r="L11" s="127"/>
      <c r="M11" s="127"/>
    </row>
    <row r="12" spans="1:13" ht="18.75" x14ac:dyDescent="0.25">
      <c r="A12" s="128" t="str">
        <f>"           1. Ông: "&amp;TTCHUNG!E19&amp;" - Phó Giám thị Trại tạm giam - Công an tỉnh Quảng Ninh."</f>
        <v xml:space="preserve">           1. Ông:  - Phó Giám thị Trại tạm giam - Công an tỉnh Quảng Ninh.</v>
      </c>
      <c r="B12" s="128"/>
      <c r="C12" s="128"/>
      <c r="D12" s="128"/>
      <c r="E12" s="128"/>
      <c r="F12" s="128"/>
      <c r="G12" s="128"/>
      <c r="H12" s="128"/>
      <c r="I12" s="128"/>
      <c r="J12" s="128"/>
      <c r="K12" s="128"/>
      <c r="L12" s="128"/>
      <c r="M12" s="128"/>
    </row>
    <row r="13" spans="1:13" ht="18.75" x14ac:dyDescent="0.25">
      <c r="A13" s="128" t="str">
        <f>"           2. Ông: "&amp;TTCHUNG!D25 &amp;" - Cán bộ hồ sơ -  Trại tạm giam - Công an tỉnh Quảng Ninh."</f>
        <v xml:space="preserve">           2. Ông:  - Cán bộ hồ sơ -  Trại tạm giam - Công an tỉnh Quảng Ninh.</v>
      </c>
      <c r="B13" s="128"/>
      <c r="C13" s="128"/>
      <c r="D13" s="128"/>
      <c r="E13" s="128"/>
      <c r="F13" s="128"/>
      <c r="G13" s="128"/>
      <c r="H13" s="128"/>
      <c r="I13" s="128"/>
      <c r="J13" s="128"/>
      <c r="K13" s="128"/>
      <c r="L13" s="128"/>
      <c r="M13" s="128"/>
    </row>
    <row r="14" spans="1:13" ht="18.75" x14ac:dyDescent="0.25">
      <c r="A14" s="128" t="str">
        <f>"           3. Ông: "&amp;TTCHUNG!F19 &amp;" - Cán bộ, "&amp;TTCHUNG!G19</f>
        <v xml:space="preserve">           3. Ông:  - Cán bộ, </v>
      </c>
      <c r="B14" s="128"/>
      <c r="C14" s="128"/>
      <c r="D14" s="128"/>
      <c r="E14" s="128"/>
      <c r="F14" s="128"/>
      <c r="G14" s="128"/>
      <c r="H14" s="128"/>
      <c r="I14" s="128"/>
      <c r="J14" s="128"/>
      <c r="K14" s="128"/>
      <c r="L14" s="128"/>
      <c r="M14" s="128"/>
    </row>
    <row r="15" spans="1:13" ht="18.75" x14ac:dyDescent="0.25">
      <c r="A15" s="135" t="s">
        <v>203</v>
      </c>
      <c r="B15" s="135"/>
      <c r="C15" s="135"/>
      <c r="D15" s="135"/>
      <c r="E15" s="135"/>
      <c r="F15" s="135"/>
      <c r="G15" s="135"/>
      <c r="H15" s="135"/>
      <c r="I15" s="135"/>
      <c r="J15" s="135"/>
      <c r="K15" s="135"/>
      <c r="L15" s="135"/>
      <c r="M15" s="135"/>
    </row>
    <row r="16" spans="1:13" ht="18.75" x14ac:dyDescent="0.3">
      <c r="A16" s="24" t="s">
        <v>197</v>
      </c>
      <c r="B16" s="68" t="str">
        <f>TTCHUNG!D7</f>
        <v/>
      </c>
      <c r="C16" s="24"/>
      <c r="D16" s="24"/>
      <c r="E16" s="24"/>
      <c r="F16" s="24"/>
      <c r="G16" s="132" t="s">
        <v>20</v>
      </c>
      <c r="H16" s="132"/>
      <c r="I16" s="24">
        <f>TTCHUNG!E9</f>
        <v>0</v>
      </c>
      <c r="J16" s="133" t="s">
        <v>173</v>
      </c>
      <c r="K16" s="133"/>
      <c r="L16" s="134" t="str">
        <f>TTCHUNG!C9</f>
        <v/>
      </c>
      <c r="M16" s="134"/>
    </row>
    <row r="17" spans="1:13" ht="18.75" x14ac:dyDescent="0.3">
      <c r="A17" s="24" t="s">
        <v>199</v>
      </c>
      <c r="B17" s="24"/>
      <c r="D17" s="24">
        <f>TTCHUNG!C8</f>
        <v>0</v>
      </c>
      <c r="E17" s="24"/>
      <c r="F17" s="24"/>
      <c r="G17" s="24"/>
      <c r="H17" s="24"/>
      <c r="I17" s="24"/>
      <c r="J17" s="24"/>
      <c r="K17" s="24"/>
      <c r="L17" s="24"/>
      <c r="M17" s="75"/>
    </row>
    <row r="18" spans="1:13" ht="18.75" x14ac:dyDescent="0.3">
      <c r="A18" s="24" t="str">
        <f>"   Nơi ĐKTT: " &amp;TTCHUNG!C11</f>
        <v xml:space="preserve">   Nơi ĐKTT: </v>
      </c>
      <c r="B18" s="24"/>
      <c r="C18" s="46"/>
      <c r="D18" s="24"/>
      <c r="E18" s="24"/>
      <c r="F18" s="24"/>
      <c r="G18" s="24"/>
      <c r="H18" s="24"/>
      <c r="I18" s="24"/>
      <c r="J18" s="71"/>
      <c r="K18" s="24"/>
      <c r="L18" s="24"/>
      <c r="M18" s="75"/>
    </row>
    <row r="19" spans="1:13" ht="18.75" x14ac:dyDescent="0.3">
      <c r="A19" s="24" t="str">
        <f>"   Nơi ở hiện nay: " &amp;TTCHUNG!C11</f>
        <v xml:space="preserve">   Nơi ở hiện nay: </v>
      </c>
      <c r="B19" s="24"/>
      <c r="C19" s="46"/>
      <c r="D19" s="24"/>
      <c r="E19" s="24"/>
      <c r="F19" s="24"/>
      <c r="G19" s="24"/>
      <c r="H19" s="24"/>
      <c r="I19" s="24"/>
      <c r="J19" s="71"/>
      <c r="K19" s="24"/>
      <c r="L19" s="24"/>
      <c r="M19" s="24"/>
    </row>
    <row r="20" spans="1:13" ht="18.75" x14ac:dyDescent="0.3">
      <c r="A20" s="24" t="s">
        <v>200</v>
      </c>
      <c r="B20" s="24">
        <f>TTCHUNG!C12</f>
        <v>0</v>
      </c>
      <c r="C20" s="24"/>
      <c r="D20" s="24"/>
      <c r="E20" s="24"/>
      <c r="F20" s="24"/>
      <c r="G20" s="133" t="s">
        <v>8</v>
      </c>
      <c r="H20" s="133"/>
      <c r="I20" s="24" t="str">
        <f>TTCHUNG!E12</f>
        <v>Việt Nam.</v>
      </c>
      <c r="J20" s="24"/>
      <c r="K20" s="24"/>
      <c r="L20" s="24"/>
      <c r="M20" s="75"/>
    </row>
    <row r="21" spans="1:13" ht="19.5" x14ac:dyDescent="0.35">
      <c r="A21" s="24" t="str">
        <f>"   Hành vi phạm tội: " &amp;TTCHUNG!C13</f>
        <v xml:space="preserve">   Hành vi phạm tội: </v>
      </c>
      <c r="B21" s="24"/>
      <c r="C21" s="24"/>
      <c r="D21" s="24"/>
      <c r="E21" s="32"/>
      <c r="F21" s="24"/>
      <c r="G21" s="24"/>
      <c r="H21" s="24"/>
      <c r="I21" s="24"/>
      <c r="J21" s="24"/>
      <c r="K21" s="24"/>
      <c r="L21" s="24"/>
      <c r="M21" s="24"/>
    </row>
    <row r="22" spans="1:13" ht="18.75" x14ac:dyDescent="0.3">
      <c r="A22" s="24" t="s">
        <v>204</v>
      </c>
      <c r="B22" s="24">
        <f>TTCHUNG!C16</f>
        <v>0</v>
      </c>
      <c r="C22" s="24"/>
      <c r="D22" s="24"/>
      <c r="E22" s="24"/>
      <c r="F22" s="24"/>
      <c r="G22" s="24"/>
      <c r="H22" s="24"/>
      <c r="I22" s="24"/>
      <c r="J22" s="24"/>
      <c r="K22" s="30"/>
      <c r="L22" s="24"/>
    </row>
    <row r="23" spans="1:13" ht="72.75" customHeight="1" x14ac:dyDescent="0.25">
      <c r="A23" s="129" t="str">
        <f>"           Sau khi kiểm tra, đối chiếu căn cước, lý lịch của bị can đúng như trong Quyết định THAPT số " &amp; TTCHUNG!B21 &amp; " ngày " &amp;TTCHUNG!C21 &amp;" của TAND " &amp;TTCHUNG!D21 &amp; " và bản án Hình sự sơ thẩm số " &amp;TTCHUNG!B19 &amp; " ngày " &amp; TTCHUNG!C19 &amp;" của TAND " &amp;TTCHUNG!D19</f>
        <v xml:space="preserve">           Sau khi kiểm tra, đối chiếu căn cước, lý lịch của bị can đúng như trong Quyết định THAPT số  ngày  của TAND  và bản án Hình sự sơ thẩm số  ngày  của TAND </v>
      </c>
      <c r="B23" s="130"/>
      <c r="C23" s="130"/>
      <c r="D23" s="130"/>
      <c r="E23" s="130"/>
      <c r="F23" s="130"/>
      <c r="G23" s="130"/>
      <c r="H23" s="130"/>
      <c r="I23" s="130"/>
      <c r="J23" s="130"/>
      <c r="K23" s="130"/>
      <c r="L23" s="130"/>
      <c r="M23" s="130"/>
    </row>
    <row r="24" spans="1:13" ht="18.75" x14ac:dyDescent="0.25">
      <c r="A24" s="136" t="s">
        <v>215</v>
      </c>
      <c r="B24" s="136"/>
      <c r="C24" s="136"/>
      <c r="D24" s="136"/>
      <c r="E24" s="136"/>
      <c r="F24" s="136"/>
      <c r="G24" s="136"/>
      <c r="H24" s="136"/>
      <c r="I24" s="136"/>
      <c r="J24" s="136"/>
      <c r="K24" s="137" t="str">
        <f>TTCHUNG!D7</f>
        <v/>
      </c>
      <c r="L24" s="137"/>
      <c r="M24" s="137"/>
    </row>
    <row r="25" spans="1:13" ht="33.75" customHeight="1" x14ac:dyDescent="0.25">
      <c r="A25" s="38" t="str">
        <f>"           Ngoài tiếp nhận bị án " &amp;TTCHUNG!D7 &amp; " không thu giữ gì."</f>
        <v xml:space="preserve">           Ngoài tiếp nhận bị án  không thu giữ gì.</v>
      </c>
      <c r="B25" s="38"/>
      <c r="C25" s="38"/>
      <c r="D25" s="38"/>
      <c r="E25" s="38"/>
      <c r="F25" s="43"/>
      <c r="G25" s="43"/>
      <c r="H25" s="43"/>
      <c r="I25" s="38"/>
      <c r="J25" s="38"/>
      <c r="K25" s="38"/>
      <c r="L25" s="38"/>
      <c r="M25" s="38"/>
    </row>
    <row r="26" spans="1:13" ht="40.5" customHeight="1" x14ac:dyDescent="0.25">
      <c r="A26" s="128" t="s">
        <v>205</v>
      </c>
      <c r="B26" s="128"/>
      <c r="C26" s="128"/>
      <c r="D26" s="128"/>
      <c r="E26" s="128"/>
      <c r="F26" s="128"/>
      <c r="G26" s="128"/>
      <c r="H26" s="128"/>
      <c r="I26" s="128"/>
      <c r="J26" s="128"/>
      <c r="K26" s="128"/>
      <c r="L26" s="128"/>
      <c r="M26" s="128"/>
    </row>
    <row r="27" spans="1:13" ht="18.75" x14ac:dyDescent="0.25">
      <c r="A27" s="131"/>
      <c r="B27" s="131"/>
      <c r="C27" s="131"/>
      <c r="D27" s="131"/>
      <c r="E27" s="131"/>
      <c r="F27" s="131"/>
      <c r="G27" s="26"/>
      <c r="H27" s="124" t="s">
        <v>184</v>
      </c>
      <c r="I27" s="124"/>
      <c r="J27" s="124"/>
      <c r="K27" s="124"/>
      <c r="L27" s="124"/>
      <c r="M27" s="124"/>
    </row>
    <row r="28" spans="1:13" ht="18.75" customHeight="1" x14ac:dyDescent="0.25">
      <c r="A28" s="124" t="s">
        <v>186</v>
      </c>
      <c r="B28" s="124"/>
      <c r="C28" s="124"/>
      <c r="D28" s="124"/>
      <c r="E28" s="124"/>
      <c r="F28" s="124"/>
      <c r="G28" s="90"/>
      <c r="H28" s="124" t="s">
        <v>152</v>
      </c>
      <c r="I28" s="124"/>
      <c r="J28" s="124"/>
      <c r="K28" s="124"/>
      <c r="L28" s="124"/>
      <c r="M28" s="124"/>
    </row>
    <row r="29" spans="1:13" ht="15.75" x14ac:dyDescent="0.25">
      <c r="J29" s="26"/>
      <c r="K29" s="26"/>
    </row>
    <row r="30" spans="1:13" ht="18.75" x14ac:dyDescent="0.25">
      <c r="A30" s="23"/>
      <c r="J30" s="27"/>
      <c r="K30" s="27"/>
    </row>
    <row r="31" spans="1:13" ht="18.75" x14ac:dyDescent="0.25">
      <c r="A31" s="23"/>
      <c r="J31" s="27"/>
      <c r="K31" s="27"/>
    </row>
    <row r="32" spans="1:13" ht="18.75" x14ac:dyDescent="0.25">
      <c r="A32" s="23"/>
      <c r="J32" s="27"/>
      <c r="K32" s="27"/>
    </row>
    <row r="33" spans="1:13" ht="15.75" x14ac:dyDescent="0.25">
      <c r="J33" s="27"/>
      <c r="K33" s="27"/>
    </row>
    <row r="34" spans="1:13" ht="15.75" x14ac:dyDescent="0.25">
      <c r="J34" s="25"/>
      <c r="K34" s="25"/>
    </row>
    <row r="35" spans="1:13" ht="18.75" x14ac:dyDescent="0.3">
      <c r="A35" s="125">
        <f>TTCHUNG!D25</f>
        <v>0</v>
      </c>
      <c r="B35" s="125"/>
      <c r="C35" s="125"/>
      <c r="D35" s="125"/>
      <c r="E35" s="125"/>
      <c r="F35" s="125"/>
      <c r="G35" s="21"/>
      <c r="H35" s="125" t="str">
        <f>"Thượng tá "&amp;TTCHUNG!E19</f>
        <v xml:space="preserve">Thượng tá </v>
      </c>
      <c r="I35" s="125"/>
      <c r="J35" s="125"/>
      <c r="K35" s="125"/>
      <c r="L35" s="125"/>
      <c r="M35" s="125"/>
    </row>
    <row r="36" spans="1:13" ht="18.75" x14ac:dyDescent="0.3">
      <c r="A36" s="20"/>
      <c r="B36" s="20"/>
      <c r="C36" s="20"/>
      <c r="D36" s="20"/>
      <c r="E36" s="20"/>
      <c r="F36" s="20"/>
      <c r="G36" s="21"/>
      <c r="H36" s="20"/>
      <c r="I36" s="20"/>
      <c r="J36" s="20"/>
      <c r="K36" s="20"/>
      <c r="L36" s="20"/>
      <c r="M36" s="20"/>
    </row>
    <row r="37" spans="1:13" ht="18.75" customHeight="1" x14ac:dyDescent="0.3">
      <c r="A37" s="124" t="s">
        <v>218</v>
      </c>
      <c r="B37" s="124"/>
      <c r="C37" s="124"/>
      <c r="D37" s="124"/>
      <c r="E37" s="124"/>
      <c r="F37" s="124"/>
      <c r="G37" s="124"/>
      <c r="H37" s="113"/>
      <c r="I37" s="125" t="s">
        <v>185</v>
      </c>
      <c r="J37" s="125"/>
      <c r="K37" s="125"/>
      <c r="L37" s="125"/>
      <c r="M37" s="125"/>
    </row>
    <row r="38" spans="1:13" x14ac:dyDescent="0.25">
      <c r="A38" s="28"/>
    </row>
    <row r="39" spans="1:13" x14ac:dyDescent="0.25">
      <c r="A39" s="28"/>
    </row>
    <row r="40" spans="1:13" x14ac:dyDescent="0.25">
      <c r="A40" s="28"/>
    </row>
    <row r="41" spans="1:13" x14ac:dyDescent="0.25">
      <c r="A41" s="28"/>
    </row>
    <row r="42" spans="1:13" ht="18.75" x14ac:dyDescent="0.3">
      <c r="A42" s="125"/>
      <c r="B42" s="125"/>
      <c r="C42" s="125"/>
      <c r="D42" s="125"/>
      <c r="E42" s="125"/>
      <c r="F42" s="125"/>
      <c r="G42" s="125"/>
      <c r="I42" s="125"/>
      <c r="J42" s="125"/>
      <c r="K42" s="125"/>
      <c r="L42" s="125"/>
      <c r="M42" s="125"/>
    </row>
    <row r="44" spans="1:13" ht="18.75" x14ac:dyDescent="0.3">
      <c r="A44" s="126" t="str">
        <f>TTCHUNG!F19</f>
        <v/>
      </c>
      <c r="B44" s="125"/>
      <c r="C44" s="125"/>
      <c r="D44" s="125"/>
      <c r="E44" s="125"/>
      <c r="F44" s="125"/>
      <c r="G44" s="125"/>
      <c r="I44" s="125" t="str">
        <f>TTCHUNG!D7</f>
        <v/>
      </c>
      <c r="J44" s="125"/>
      <c r="K44" s="125"/>
      <c r="L44" s="125"/>
      <c r="M44" s="125"/>
    </row>
  </sheetData>
  <mergeCells count="32">
    <mergeCell ref="A8:M8"/>
    <mergeCell ref="A2:F2"/>
    <mergeCell ref="A3:F3"/>
    <mergeCell ref="G3:M3"/>
    <mergeCell ref="A5:F5"/>
    <mergeCell ref="G5:M5"/>
    <mergeCell ref="A7:M7"/>
    <mergeCell ref="A10:M11"/>
    <mergeCell ref="A12:M12"/>
    <mergeCell ref="A13:M13"/>
    <mergeCell ref="A23:M23"/>
    <mergeCell ref="A27:F27"/>
    <mergeCell ref="H27:M27"/>
    <mergeCell ref="A26:M26"/>
    <mergeCell ref="G16:H16"/>
    <mergeCell ref="J16:K16"/>
    <mergeCell ref="L16:M16"/>
    <mergeCell ref="G20:H20"/>
    <mergeCell ref="A14:M14"/>
    <mergeCell ref="A15:M15"/>
    <mergeCell ref="A24:J24"/>
    <mergeCell ref="K24:M24"/>
    <mergeCell ref="A28:F28"/>
    <mergeCell ref="H28:M28"/>
    <mergeCell ref="A42:G42"/>
    <mergeCell ref="I42:M42"/>
    <mergeCell ref="A44:G44"/>
    <mergeCell ref="I44:M44"/>
    <mergeCell ref="A35:F35"/>
    <mergeCell ref="H35:M35"/>
    <mergeCell ref="A37:G37"/>
    <mergeCell ref="I37:M37"/>
  </mergeCells>
  <printOptions horizontalCentered="1" verticalCentered="1"/>
  <pageMargins left="0.78740157480314965" right="0.19685039370078741" top="0.23622047244094491" bottom="0.23622047244094491" header="0.31496062992125984" footer="0.31496062992125984"/>
  <pageSetup scale="8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7030A0"/>
  </sheetPr>
  <dimension ref="A4:M42"/>
  <sheetViews>
    <sheetView view="pageBreakPreview" topLeftCell="A28" zoomScaleNormal="100" zoomScaleSheetLayoutView="100" workbookViewId="0">
      <selection activeCell="A10" sqref="A10:M10"/>
    </sheetView>
  </sheetViews>
  <sheetFormatPr defaultColWidth="9.140625" defaultRowHeight="15" x14ac:dyDescent="0.25"/>
  <cols>
    <col min="1" max="1" width="11.85546875" style="22" customWidth="1"/>
    <col min="2" max="2" width="1.85546875" style="22" customWidth="1"/>
    <col min="3" max="3" width="4.28515625" style="22" customWidth="1"/>
    <col min="4" max="4" width="2.42578125" style="22" customWidth="1"/>
    <col min="5" max="5" width="7.85546875" style="22" customWidth="1"/>
    <col min="6" max="7" width="9.140625" style="22"/>
    <col min="8" max="8" width="3.42578125" style="22" customWidth="1"/>
    <col min="9" max="9" width="9.5703125" style="22" customWidth="1"/>
    <col min="10" max="10" width="9.140625" style="22"/>
    <col min="11" max="12" width="5.85546875" style="22" customWidth="1"/>
    <col min="13" max="13" width="13" style="22" customWidth="1"/>
    <col min="14" max="16384" width="9.140625" style="22"/>
  </cols>
  <sheetData>
    <row r="4" spans="1:13" ht="17.25" x14ac:dyDescent="0.25">
      <c r="A4" s="139" t="s">
        <v>38</v>
      </c>
      <c r="B4" s="139"/>
      <c r="C4" s="139"/>
      <c r="D4" s="139"/>
      <c r="E4" s="139"/>
      <c r="F4" s="139"/>
      <c r="G4" s="68" t="s">
        <v>16</v>
      </c>
      <c r="H4" s="68"/>
      <c r="I4" s="68"/>
      <c r="J4" s="68"/>
      <c r="K4" s="68"/>
      <c r="L4" s="68"/>
      <c r="M4" s="68"/>
    </row>
    <row r="5" spans="1:13" ht="17.25" x14ac:dyDescent="0.25">
      <c r="A5" s="140" t="s">
        <v>39</v>
      </c>
      <c r="B5" s="140"/>
      <c r="C5" s="140"/>
      <c r="D5" s="140"/>
      <c r="E5" s="140"/>
      <c r="F5" s="140"/>
      <c r="G5" s="141" t="s">
        <v>147</v>
      </c>
      <c r="H5" s="141"/>
      <c r="I5" s="141"/>
      <c r="J5" s="141"/>
      <c r="K5" s="141"/>
      <c r="L5" s="141"/>
      <c r="M5" s="141"/>
    </row>
    <row r="7" spans="1:13" ht="18.75" x14ac:dyDescent="0.3">
      <c r="A7" s="133" t="s">
        <v>170</v>
      </c>
      <c r="B7" s="133"/>
      <c r="C7" s="133"/>
      <c r="D7" s="133"/>
      <c r="E7" s="133"/>
      <c r="F7" s="133"/>
      <c r="G7" s="142" t="str">
        <f>"Quảng Ninh, ngày " &amp;LEFT(TTCHUNG!C15,2) &amp;" tháng " &amp; MID(TTCHUNG!C15,4,2) &amp;" năm 2026"</f>
        <v>Quảng Ninh, ngày  tháng  năm 2026</v>
      </c>
      <c r="H7" s="142"/>
      <c r="I7" s="142"/>
      <c r="J7" s="142"/>
      <c r="K7" s="142"/>
      <c r="L7" s="142"/>
      <c r="M7" s="142"/>
    </row>
    <row r="8" spans="1:13" ht="18.75" x14ac:dyDescent="0.3">
      <c r="A8" s="40"/>
      <c r="B8" s="40"/>
      <c r="C8" s="40"/>
      <c r="D8" s="40"/>
      <c r="E8" s="40"/>
      <c r="F8" s="41"/>
      <c r="G8" s="41"/>
      <c r="H8" s="41"/>
      <c r="I8" s="41"/>
      <c r="J8" s="41"/>
      <c r="K8" s="41"/>
      <c r="L8" s="41"/>
      <c r="M8" s="41"/>
    </row>
    <row r="9" spans="1:13" ht="18.75" x14ac:dyDescent="0.25">
      <c r="A9" s="143" t="s">
        <v>26</v>
      </c>
      <c r="B9" s="143"/>
      <c r="C9" s="143"/>
      <c r="D9" s="143"/>
      <c r="E9" s="143"/>
      <c r="F9" s="143"/>
      <c r="G9" s="143"/>
      <c r="H9" s="143"/>
      <c r="I9" s="143"/>
      <c r="J9" s="143"/>
      <c r="K9" s="143"/>
      <c r="L9" s="143"/>
      <c r="M9" s="143"/>
    </row>
    <row r="10" spans="1:13" ht="18.75" x14ac:dyDescent="0.3">
      <c r="A10" s="138" t="s">
        <v>171</v>
      </c>
      <c r="B10" s="125"/>
      <c r="C10" s="125"/>
      <c r="D10" s="125"/>
      <c r="E10" s="125"/>
      <c r="F10" s="125"/>
      <c r="G10" s="125"/>
      <c r="H10" s="125"/>
      <c r="I10" s="125"/>
      <c r="J10" s="125"/>
      <c r="K10" s="125"/>
      <c r="L10" s="125"/>
      <c r="M10" s="125"/>
    </row>
    <row r="11" spans="1:13" ht="18.75" x14ac:dyDescent="0.3">
      <c r="A11" s="95"/>
      <c r="B11" s="20"/>
      <c r="C11" s="20"/>
      <c r="D11" s="20"/>
      <c r="E11" s="20"/>
      <c r="F11" s="20"/>
      <c r="G11" s="20"/>
      <c r="H11" s="20"/>
      <c r="I11" s="20"/>
      <c r="J11" s="20"/>
      <c r="K11" s="20"/>
      <c r="L11" s="20"/>
      <c r="M11" s="20"/>
    </row>
    <row r="12" spans="1:13" ht="18.75" x14ac:dyDescent="0.3">
      <c r="A12" s="95"/>
      <c r="B12" s="20"/>
      <c r="C12" s="20"/>
      <c r="D12" s="20"/>
      <c r="E12" s="125" t="s">
        <v>172</v>
      </c>
      <c r="F12" s="125"/>
      <c r="G12" s="125"/>
      <c r="H12" s="125"/>
      <c r="I12" s="125"/>
      <c r="J12" s="125"/>
      <c r="K12" s="125"/>
      <c r="L12" s="20"/>
      <c r="M12" s="20"/>
    </row>
    <row r="13" spans="1:13" ht="18.75" x14ac:dyDescent="0.3">
      <c r="A13" s="20"/>
      <c r="B13" s="20"/>
      <c r="C13" s="20"/>
      <c r="D13" s="20"/>
      <c r="E13" s="20"/>
      <c r="F13" s="20"/>
      <c r="G13" s="20"/>
      <c r="H13" s="20"/>
      <c r="I13" s="20"/>
      <c r="J13" s="20"/>
      <c r="K13" s="20"/>
      <c r="L13" s="20"/>
      <c r="M13" s="20"/>
    </row>
    <row r="14" spans="1:13" ht="36" customHeight="1" x14ac:dyDescent="0.25">
      <c r="A14" s="150" t="s">
        <v>187</v>
      </c>
      <c r="B14" s="150"/>
      <c r="C14" s="150"/>
      <c r="D14" s="150"/>
      <c r="E14" s="150"/>
      <c r="F14" s="150"/>
      <c r="G14" s="150"/>
      <c r="H14" s="150"/>
      <c r="I14" s="150"/>
      <c r="J14" s="150"/>
      <c r="K14" s="150"/>
      <c r="L14" s="150"/>
      <c r="M14" s="150"/>
    </row>
    <row r="15" spans="1:13" ht="36" customHeight="1" x14ac:dyDescent="0.25">
      <c r="A15" s="150" t="s">
        <v>188</v>
      </c>
      <c r="B15" s="150"/>
      <c r="C15" s="150"/>
      <c r="D15" s="150"/>
      <c r="E15" s="150"/>
      <c r="F15" s="150"/>
      <c r="G15" s="150"/>
      <c r="H15" s="150"/>
      <c r="I15" s="150"/>
      <c r="J15" s="150"/>
      <c r="K15" s="150"/>
      <c r="L15" s="150"/>
      <c r="M15" s="150"/>
    </row>
    <row r="16" spans="1:13" ht="36" customHeight="1" x14ac:dyDescent="0.25">
      <c r="A16" s="150" t="s">
        <v>189</v>
      </c>
      <c r="B16" s="150"/>
      <c r="C16" s="150"/>
      <c r="D16" s="150"/>
      <c r="E16" s="150"/>
      <c r="F16" s="150"/>
      <c r="G16" s="150"/>
      <c r="H16" s="150"/>
      <c r="I16" s="150"/>
      <c r="J16" s="150"/>
      <c r="K16" s="150"/>
      <c r="L16" s="150"/>
      <c r="M16" s="150"/>
    </row>
    <row r="17" spans="1:13" ht="18.75" x14ac:dyDescent="0.25">
      <c r="A17" s="143" t="s">
        <v>26</v>
      </c>
      <c r="B17" s="143"/>
      <c r="C17" s="143"/>
      <c r="D17" s="143"/>
      <c r="E17" s="143"/>
      <c r="F17" s="143"/>
      <c r="G17" s="143"/>
      <c r="H17" s="143"/>
      <c r="I17" s="143"/>
      <c r="J17" s="143"/>
      <c r="K17" s="143"/>
      <c r="L17" s="143"/>
      <c r="M17" s="143"/>
    </row>
    <row r="18" spans="1:13" ht="36" customHeight="1" x14ac:dyDescent="0.25">
      <c r="A18" s="151" t="s">
        <v>190</v>
      </c>
      <c r="B18" s="151"/>
      <c r="C18" s="151"/>
      <c r="D18" s="151"/>
      <c r="E18" s="151"/>
      <c r="F18" s="151"/>
      <c r="G18" s="151"/>
      <c r="H18" s="151"/>
      <c r="I18" s="151"/>
      <c r="J18" s="151"/>
      <c r="K18" s="151"/>
      <c r="L18" s="151"/>
      <c r="M18" s="151"/>
    </row>
    <row r="19" spans="1:13" ht="18.75" x14ac:dyDescent="0.3">
      <c r="A19" s="24" t="s">
        <v>19</v>
      </c>
      <c r="B19" s="68" t="str">
        <f>TTCHUNG!D7</f>
        <v/>
      </c>
      <c r="C19" s="24"/>
      <c r="D19" s="24"/>
      <c r="E19" s="24"/>
      <c r="F19" s="24"/>
      <c r="G19" s="132" t="s">
        <v>20</v>
      </c>
      <c r="H19" s="132"/>
      <c r="I19" s="24">
        <f>TTCHUNG!E9</f>
        <v>0</v>
      </c>
      <c r="J19" s="133" t="s">
        <v>173</v>
      </c>
      <c r="K19" s="133"/>
      <c r="L19" s="134" t="str">
        <f>TTCHUNG!C9</f>
        <v/>
      </c>
      <c r="M19" s="134"/>
    </row>
    <row r="20" spans="1:13" ht="18.75" x14ac:dyDescent="0.3">
      <c r="A20" s="24" t="s">
        <v>3</v>
      </c>
      <c r="B20" s="24"/>
      <c r="D20" s="24">
        <f>TTCHUNG!C8</f>
        <v>0</v>
      </c>
      <c r="E20" s="24"/>
      <c r="F20" s="24"/>
      <c r="G20" s="24"/>
      <c r="H20" s="24"/>
      <c r="I20" s="24"/>
      <c r="J20" s="24"/>
      <c r="K20" s="24"/>
      <c r="L20" s="24"/>
      <c r="M20" s="24"/>
    </row>
    <row r="21" spans="1:13" ht="18.75" x14ac:dyDescent="0.3">
      <c r="A21" s="24" t="s">
        <v>5</v>
      </c>
      <c r="B21" s="24"/>
      <c r="C21" s="46">
        <f>TTCHUNG!C11</f>
        <v>0</v>
      </c>
      <c r="D21" s="24"/>
      <c r="E21" s="24"/>
      <c r="F21" s="24"/>
      <c r="G21" s="24"/>
      <c r="H21" s="24"/>
      <c r="I21" s="24"/>
      <c r="J21" s="71"/>
      <c r="K21" s="24"/>
      <c r="L21" s="24"/>
      <c r="M21" s="24"/>
    </row>
    <row r="22" spans="1:13" ht="18.75" x14ac:dyDescent="0.3">
      <c r="A22" s="24" t="s">
        <v>7</v>
      </c>
      <c r="B22" s="24">
        <f>TTCHUNG!C12</f>
        <v>0</v>
      </c>
      <c r="C22" s="24"/>
      <c r="D22" s="24"/>
      <c r="E22" s="24"/>
      <c r="F22" s="24"/>
      <c r="G22" s="133" t="s">
        <v>8</v>
      </c>
      <c r="H22" s="133"/>
      <c r="I22" s="24" t="str">
        <f>TTCHUNG!E12</f>
        <v>Việt Nam.</v>
      </c>
      <c r="J22" s="24"/>
      <c r="K22" s="24"/>
      <c r="L22" s="24"/>
      <c r="M22" s="24"/>
    </row>
    <row r="23" spans="1:13" ht="19.5" x14ac:dyDescent="0.35">
      <c r="A23" s="24" t="s">
        <v>18</v>
      </c>
      <c r="B23" s="24"/>
      <c r="C23" s="24"/>
      <c r="D23" s="24"/>
      <c r="E23" s="32">
        <f>TTCHUNG!C13</f>
        <v>0</v>
      </c>
      <c r="F23" s="24"/>
      <c r="G23" s="24"/>
      <c r="H23" s="24"/>
      <c r="I23" s="24"/>
      <c r="J23" s="24"/>
      <c r="K23" s="24"/>
      <c r="L23" s="24"/>
      <c r="M23" s="24"/>
    </row>
    <row r="24" spans="1:13" ht="18.75" x14ac:dyDescent="0.3">
      <c r="A24" s="24" t="s">
        <v>10</v>
      </c>
      <c r="C24" s="75" t="str">
        <f>TTCHUNG!C14</f>
        <v/>
      </c>
      <c r="D24" s="24"/>
      <c r="E24" s="24"/>
      <c r="F24" s="149" t="s">
        <v>23</v>
      </c>
      <c r="G24" s="149"/>
      <c r="H24" s="149"/>
      <c r="I24" s="24" t="s">
        <v>182</v>
      </c>
      <c r="J24" s="24"/>
      <c r="K24" s="30"/>
      <c r="L24" s="24"/>
    </row>
    <row r="25" spans="1:13" ht="18.75" x14ac:dyDescent="0.3">
      <c r="A25" s="24" t="s">
        <v>174</v>
      </c>
      <c r="B25" s="24"/>
      <c r="C25" s="24"/>
      <c r="D25" s="24"/>
      <c r="E25" s="24"/>
      <c r="F25" s="144" t="str">
        <f>TTCHUNG!C15</f>
        <v/>
      </c>
      <c r="G25" s="144"/>
      <c r="H25" s="24" t="s">
        <v>175</v>
      </c>
      <c r="I25" s="24"/>
      <c r="K25" s="24" t="s">
        <v>176</v>
      </c>
      <c r="L25" s="24"/>
      <c r="M25" s="24"/>
    </row>
    <row r="26" spans="1:13" ht="18.75" x14ac:dyDescent="0.3">
      <c r="A26" s="24" t="s">
        <v>177</v>
      </c>
      <c r="B26" s="24"/>
      <c r="C26" s="145">
        <f>[1]TTCHUNG!C16</f>
        <v>0</v>
      </c>
      <c r="D26" s="145"/>
      <c r="E26" s="145"/>
      <c r="F26" s="145"/>
      <c r="G26" s="145"/>
      <c r="H26" s="145"/>
      <c r="I26" s="145"/>
      <c r="J26" s="145"/>
      <c r="K26" s="145"/>
      <c r="L26" s="145"/>
      <c r="M26" s="145"/>
    </row>
    <row r="27" spans="1:13" ht="36" customHeight="1" x14ac:dyDescent="0.25">
      <c r="A27" s="130" t="str">
        <f>"     Theo Quyết định THAPT số "&amp;TTCHUNG!B21 &amp;" ngày "&amp;TTCHUNG!C21&amp;" của TAND "&amp;TTCHUNG!D21 &amp;"."</f>
        <v xml:space="preserve">     Theo Quyết định THAPT số  ngày  của TAND .</v>
      </c>
      <c r="B27" s="130"/>
      <c r="C27" s="130"/>
      <c r="D27" s="130"/>
      <c r="E27" s="130"/>
      <c r="F27" s="130"/>
      <c r="G27" s="130"/>
      <c r="H27" s="130"/>
      <c r="I27" s="130"/>
      <c r="J27" s="130"/>
      <c r="K27" s="130"/>
      <c r="L27" s="130"/>
      <c r="M27" s="130"/>
    </row>
    <row r="28" spans="1:13" ht="33.75" customHeight="1" x14ac:dyDescent="0.25">
      <c r="A28" s="130" t="s">
        <v>178</v>
      </c>
      <c r="B28" s="130"/>
      <c r="C28" s="130"/>
      <c r="D28" s="130"/>
      <c r="E28" s="130"/>
      <c r="F28" s="130"/>
      <c r="G28" s="130"/>
      <c r="H28" s="130"/>
      <c r="I28" s="130"/>
      <c r="J28" s="130"/>
      <c r="K28" s="130"/>
      <c r="L28" s="130"/>
      <c r="M28" s="130"/>
    </row>
    <row r="30" spans="1:13" ht="15.75" x14ac:dyDescent="0.25">
      <c r="A30" s="131"/>
      <c r="B30" s="131"/>
      <c r="C30" s="131"/>
      <c r="D30" s="131"/>
      <c r="E30" s="131"/>
      <c r="F30" s="131"/>
      <c r="G30" s="26"/>
      <c r="H30" s="146" t="s">
        <v>179</v>
      </c>
      <c r="I30" s="146"/>
      <c r="J30" s="146"/>
      <c r="K30" s="146"/>
      <c r="L30" s="146"/>
      <c r="M30" s="146"/>
    </row>
    <row r="31" spans="1:13" ht="15.75" x14ac:dyDescent="0.25">
      <c r="A31" s="147"/>
      <c r="B31" s="147"/>
      <c r="C31" s="147"/>
      <c r="D31" s="147"/>
      <c r="E31" s="147"/>
      <c r="F31" s="147"/>
      <c r="G31" s="90"/>
      <c r="H31" s="148" t="s">
        <v>180</v>
      </c>
      <c r="I31" s="148"/>
      <c r="J31" s="148"/>
      <c r="K31" s="148"/>
      <c r="L31" s="148"/>
      <c r="M31" s="148"/>
    </row>
    <row r="32" spans="1:13" ht="15.75" x14ac:dyDescent="0.25">
      <c r="J32" s="26"/>
      <c r="K32" s="26"/>
    </row>
    <row r="33" spans="1:13" ht="18.75" x14ac:dyDescent="0.25">
      <c r="A33" s="23"/>
      <c r="J33" s="27"/>
      <c r="K33" s="27"/>
    </row>
    <row r="34" spans="1:13" ht="18.75" x14ac:dyDescent="0.25">
      <c r="A34" s="23"/>
      <c r="J34" s="27"/>
      <c r="K34" s="27"/>
    </row>
    <row r="35" spans="1:13" ht="18.75" x14ac:dyDescent="0.25">
      <c r="A35" s="23"/>
      <c r="J35" s="27"/>
      <c r="K35" s="27"/>
    </row>
    <row r="36" spans="1:13" ht="15.75" x14ac:dyDescent="0.25">
      <c r="J36" s="27"/>
      <c r="K36" s="27"/>
    </row>
    <row r="37" spans="1:13" ht="15.75" x14ac:dyDescent="0.25">
      <c r="J37" s="25"/>
      <c r="K37" s="25"/>
    </row>
    <row r="38" spans="1:13" ht="18.75" x14ac:dyDescent="0.3">
      <c r="F38" s="21"/>
      <c r="G38" s="21"/>
      <c r="H38" s="124"/>
      <c r="I38" s="124"/>
      <c r="J38" s="124"/>
      <c r="K38" s="124"/>
      <c r="L38" s="124"/>
      <c r="M38" s="124"/>
    </row>
    <row r="39" spans="1:13" ht="18.75" x14ac:dyDescent="0.3">
      <c r="A39" s="89" t="s">
        <v>159</v>
      </c>
      <c r="F39" s="21"/>
      <c r="G39" s="21"/>
      <c r="H39" s="91"/>
      <c r="I39" s="91"/>
      <c r="J39" s="91"/>
      <c r="K39" s="91"/>
      <c r="L39" s="91"/>
      <c r="M39" s="91"/>
    </row>
    <row r="40" spans="1:13" ht="18.75" x14ac:dyDescent="0.3">
      <c r="A40" s="28" t="s">
        <v>216</v>
      </c>
      <c r="F40" s="21"/>
      <c r="G40" s="21"/>
      <c r="H40" s="109"/>
      <c r="I40" s="109"/>
      <c r="J40" s="109"/>
      <c r="K40" s="109"/>
      <c r="L40" s="109"/>
      <c r="M40" s="109"/>
    </row>
    <row r="41" spans="1:13" x14ac:dyDescent="0.25">
      <c r="A41" s="28" t="s">
        <v>217</v>
      </c>
    </row>
    <row r="42" spans="1:13" x14ac:dyDescent="0.25">
      <c r="A42" s="28" t="s">
        <v>181</v>
      </c>
    </row>
  </sheetData>
  <mergeCells count="27">
    <mergeCell ref="A9:M9"/>
    <mergeCell ref="A4:F4"/>
    <mergeCell ref="A5:F5"/>
    <mergeCell ref="G5:M5"/>
    <mergeCell ref="A7:F7"/>
    <mergeCell ref="G7:M7"/>
    <mergeCell ref="F24:H24"/>
    <mergeCell ref="A10:M10"/>
    <mergeCell ref="E12:K12"/>
    <mergeCell ref="A14:M14"/>
    <mergeCell ref="A15:M15"/>
    <mergeCell ref="A16:M16"/>
    <mergeCell ref="A17:M17"/>
    <mergeCell ref="A18:M18"/>
    <mergeCell ref="G19:H19"/>
    <mergeCell ref="J19:K19"/>
    <mergeCell ref="L19:M19"/>
    <mergeCell ref="G22:H22"/>
    <mergeCell ref="H38:M38"/>
    <mergeCell ref="F25:G25"/>
    <mergeCell ref="C26:M26"/>
    <mergeCell ref="A27:M27"/>
    <mergeCell ref="A28:M28"/>
    <mergeCell ref="A30:F30"/>
    <mergeCell ref="H30:M30"/>
    <mergeCell ref="A31:F31"/>
    <mergeCell ref="H31:M31"/>
  </mergeCells>
  <printOptions horizontalCentered="1" verticalCentered="1"/>
  <pageMargins left="0.7" right="0.2" top="0.25" bottom="0.25" header="0.3" footer="0.3"/>
  <pageSetup scale="92"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7030A0"/>
  </sheetPr>
  <dimension ref="A1:J41"/>
  <sheetViews>
    <sheetView view="pageBreakPreview" topLeftCell="A16" zoomScaleNormal="100" zoomScaleSheetLayoutView="100" workbookViewId="0">
      <selection activeCell="G13" sqref="G13"/>
    </sheetView>
  </sheetViews>
  <sheetFormatPr defaultColWidth="9.140625" defaultRowHeight="15" x14ac:dyDescent="0.25"/>
  <cols>
    <col min="1" max="1" width="12" style="22" customWidth="1"/>
    <col min="2" max="2" width="7.42578125" style="22" customWidth="1"/>
    <col min="3" max="4" width="9.140625" style="22"/>
    <col min="5" max="5" width="6.7109375" style="22" customWidth="1"/>
    <col min="6" max="6" width="7.5703125" style="22" customWidth="1"/>
    <col min="7" max="7" width="10.42578125" style="22" customWidth="1"/>
    <col min="8" max="8" width="10.28515625" style="22" customWidth="1"/>
    <col min="9" max="9" width="11.7109375" style="22" bestFit="1" customWidth="1"/>
    <col min="10" max="16384" width="9.140625" style="22"/>
  </cols>
  <sheetData>
    <row r="1" spans="1:10" ht="18.75" x14ac:dyDescent="0.3">
      <c r="A1" s="125" t="s">
        <v>16</v>
      </c>
      <c r="B1" s="125"/>
      <c r="C1" s="125"/>
      <c r="D1" s="125"/>
      <c r="E1" s="125"/>
      <c r="F1" s="125"/>
      <c r="G1" s="125"/>
      <c r="H1" s="125"/>
      <c r="I1" s="125"/>
      <c r="J1" s="125"/>
    </row>
    <row r="2" spans="1:10" ht="18.75" x14ac:dyDescent="0.3">
      <c r="A2" s="125" t="s">
        <v>157</v>
      </c>
      <c r="B2" s="125"/>
      <c r="C2" s="125"/>
      <c r="D2" s="125"/>
      <c r="E2" s="125"/>
      <c r="F2" s="125"/>
      <c r="G2" s="125"/>
      <c r="H2" s="125"/>
      <c r="I2" s="125"/>
      <c r="J2" s="125"/>
    </row>
    <row r="4" spans="1:10" ht="10.5" customHeight="1" x14ac:dyDescent="0.25"/>
    <row r="5" spans="1:10" ht="18.75" x14ac:dyDescent="0.25">
      <c r="A5" s="143" t="s">
        <v>17</v>
      </c>
      <c r="B5" s="143"/>
      <c r="C5" s="143"/>
      <c r="D5" s="143"/>
      <c r="E5" s="143"/>
      <c r="F5" s="143"/>
      <c r="G5" s="143"/>
      <c r="H5" s="143"/>
      <c r="I5" s="143"/>
      <c r="J5" s="143"/>
    </row>
    <row r="6" spans="1:10" ht="18.75" x14ac:dyDescent="0.3">
      <c r="A6" s="125" t="s">
        <v>161</v>
      </c>
      <c r="B6" s="125"/>
      <c r="C6" s="125"/>
      <c r="D6" s="125"/>
      <c r="E6" s="125"/>
      <c r="F6" s="125"/>
      <c r="G6" s="125"/>
      <c r="H6" s="125"/>
      <c r="I6" s="125"/>
      <c r="J6" s="125"/>
    </row>
    <row r="7" spans="1:10" ht="18.75" x14ac:dyDescent="0.3">
      <c r="A7" s="20"/>
      <c r="B7" s="20"/>
      <c r="C7" s="20"/>
      <c r="D7" s="20"/>
      <c r="E7" s="20"/>
      <c r="F7" s="20"/>
      <c r="G7" s="20"/>
      <c r="H7" s="20"/>
      <c r="I7" s="20"/>
      <c r="J7" s="20"/>
    </row>
    <row r="8" spans="1:10" ht="34.5" customHeight="1" x14ac:dyDescent="0.25">
      <c r="A8" s="130" t="str">
        <f>"           Hồi ....., giờ..... phút, ngày "&amp;TTCHUNG!C15&amp;" tại Trại tạm giam Công an tỉnh Quảng Ninh."</f>
        <v xml:space="preserve">           Hồi ....., giờ..... phút, ngày  tại Trại tạm giam Công an tỉnh Quảng Ninh.</v>
      </c>
      <c r="B8" s="130"/>
      <c r="C8" s="130"/>
      <c r="D8" s="130"/>
      <c r="E8" s="130"/>
      <c r="F8" s="130"/>
      <c r="G8" s="130"/>
      <c r="H8" s="130"/>
      <c r="I8" s="130"/>
      <c r="J8" s="130"/>
    </row>
    <row r="9" spans="1:10" ht="37.5" customHeight="1" x14ac:dyDescent="0.25">
      <c r="A9" s="130" t="str">
        <f>"         Căn cứ Quyết định T.H.A số "&amp;TTCHUNG!B21 &amp;"  ngày "&amp;TTCHUNG!C21 &amp;" của TAND " &amp;TTCHUNG!D21 &amp;"."</f>
        <v xml:space="preserve">         Căn cứ Quyết định T.H.A số   ngày  của TAND .</v>
      </c>
      <c r="B9" s="130"/>
      <c r="C9" s="130"/>
      <c r="D9" s="130"/>
      <c r="E9" s="130"/>
      <c r="F9" s="130"/>
      <c r="G9" s="130"/>
      <c r="H9" s="130"/>
      <c r="I9" s="130"/>
      <c r="J9" s="130"/>
    </row>
    <row r="10" spans="1:10" ht="18.75" x14ac:dyDescent="0.3">
      <c r="A10" s="21" t="s">
        <v>191</v>
      </c>
      <c r="B10" s="24"/>
      <c r="C10" s="24"/>
      <c r="D10" s="24"/>
      <c r="E10" s="24"/>
      <c r="F10" s="24"/>
      <c r="G10" s="24"/>
      <c r="H10" s="24"/>
      <c r="I10" s="24"/>
      <c r="J10" s="24"/>
    </row>
    <row r="11" spans="1:10" ht="18.75" x14ac:dyDescent="0.3">
      <c r="A11" s="24" t="s">
        <v>192</v>
      </c>
      <c r="B11" s="21">
        <f>TTCHUNG!D25</f>
        <v>0</v>
      </c>
      <c r="C11" s="24"/>
      <c r="D11" s="24"/>
      <c r="E11" s="24"/>
      <c r="F11" s="24"/>
      <c r="G11" s="24" t="s">
        <v>13</v>
      </c>
      <c r="H11" s="24" t="str">
        <f>TTCHUNG!D27</f>
        <v>Cán bộ</v>
      </c>
      <c r="I11" s="24"/>
      <c r="J11" s="24"/>
    </row>
    <row r="12" spans="1:10" ht="18.75" x14ac:dyDescent="0.3">
      <c r="A12" s="24" t="s">
        <v>193</v>
      </c>
      <c r="B12" s="24" t="str">
        <f>TTCHUNG!D26</f>
        <v>Đại úy</v>
      </c>
      <c r="C12" s="24"/>
      <c r="D12" s="24"/>
      <c r="E12" s="24"/>
      <c r="F12" s="24"/>
      <c r="G12" s="24"/>
      <c r="H12" s="24"/>
      <c r="I12" s="24"/>
      <c r="J12" s="24"/>
    </row>
    <row r="13" spans="1:10" ht="18.75" x14ac:dyDescent="0.3">
      <c r="A13" s="24" t="s">
        <v>194</v>
      </c>
      <c r="B13" s="24"/>
      <c r="C13" s="24" t="str">
        <f>TTCHUNG!C23</f>
        <v>PC11 - CAT Quảng Ninh.</v>
      </c>
      <c r="E13" s="24"/>
      <c r="F13" s="24"/>
      <c r="G13" s="24"/>
      <c r="H13" s="24"/>
      <c r="I13" s="24"/>
      <c r="J13" s="24"/>
    </row>
    <row r="14" spans="1:10" ht="18.75" x14ac:dyDescent="0.3">
      <c r="A14" s="24" t="s">
        <v>195</v>
      </c>
      <c r="B14" s="24"/>
      <c r="C14" s="24"/>
      <c r="D14" s="24"/>
      <c r="E14" s="24"/>
      <c r="F14" s="24"/>
      <c r="G14" s="24"/>
      <c r="H14" s="24"/>
      <c r="I14" s="24"/>
      <c r="J14" s="24"/>
    </row>
    <row r="15" spans="1:10" ht="18.75" x14ac:dyDescent="0.3">
      <c r="A15" s="21" t="s">
        <v>196</v>
      </c>
      <c r="B15" s="21"/>
      <c r="C15" s="21"/>
      <c r="D15" s="21"/>
      <c r="E15" s="21"/>
      <c r="F15" s="21"/>
      <c r="G15" s="21"/>
      <c r="H15" s="21"/>
      <c r="I15" s="21"/>
      <c r="J15" s="21"/>
    </row>
    <row r="16" spans="1:10" ht="18.75" x14ac:dyDescent="0.3">
      <c r="A16" s="24" t="s">
        <v>197</v>
      </c>
      <c r="B16" s="24" t="s">
        <v>162</v>
      </c>
      <c r="C16" s="24"/>
      <c r="D16" s="24"/>
      <c r="E16" s="24"/>
      <c r="F16" s="24"/>
      <c r="G16" s="24" t="s">
        <v>13</v>
      </c>
      <c r="H16" s="24" t="s">
        <v>162</v>
      </c>
      <c r="I16" s="24"/>
      <c r="J16" s="24"/>
    </row>
    <row r="17" spans="1:10" ht="18.75" x14ac:dyDescent="0.3">
      <c r="A17" s="24" t="s">
        <v>193</v>
      </c>
      <c r="B17" s="24" t="s">
        <v>162</v>
      </c>
      <c r="C17" s="24"/>
      <c r="D17" s="24"/>
      <c r="E17" s="24"/>
      <c r="F17" s="24"/>
      <c r="G17" s="24"/>
      <c r="H17" s="24"/>
      <c r="I17" s="24"/>
      <c r="J17" s="24"/>
    </row>
    <row r="18" spans="1:10" ht="18.75" x14ac:dyDescent="0.3">
      <c r="A18" s="24" t="s">
        <v>194</v>
      </c>
      <c r="B18" s="24"/>
      <c r="C18" s="24" t="str">
        <f>TTCHUNG!C23</f>
        <v>PC11 - CAT Quảng Ninh.</v>
      </c>
      <c r="E18" s="24"/>
      <c r="F18" s="24"/>
      <c r="G18" s="24"/>
      <c r="H18" s="24"/>
      <c r="I18" s="24"/>
      <c r="J18" s="24"/>
    </row>
    <row r="19" spans="1:10" ht="18.75" x14ac:dyDescent="0.3">
      <c r="A19" s="24" t="s">
        <v>195</v>
      </c>
      <c r="B19" s="24"/>
      <c r="C19" s="24"/>
      <c r="D19" s="24"/>
      <c r="E19" s="24"/>
      <c r="F19" s="24"/>
      <c r="G19" s="24"/>
      <c r="H19" s="24"/>
      <c r="I19" s="24"/>
      <c r="J19" s="24"/>
    </row>
    <row r="20" spans="1:10" ht="18.75" x14ac:dyDescent="0.3">
      <c r="A20" s="24" t="s">
        <v>198</v>
      </c>
      <c r="B20" s="24"/>
      <c r="C20" s="24"/>
      <c r="D20" s="24"/>
      <c r="E20" s="24"/>
      <c r="F20" s="24"/>
      <c r="G20" s="24"/>
      <c r="H20" s="24"/>
      <c r="I20" s="24"/>
      <c r="J20" s="24"/>
    </row>
    <row r="21" spans="1:10" ht="18.75" x14ac:dyDescent="0.3">
      <c r="A21" s="24" t="str">
        <f>"   Họ và tên: "&amp;TTCHUNG!D7</f>
        <v xml:space="preserve">   Họ và tên: </v>
      </c>
      <c r="B21" s="21"/>
      <c r="C21" s="24"/>
      <c r="D21" s="24"/>
      <c r="E21" s="132" t="s">
        <v>20</v>
      </c>
      <c r="F21" s="132"/>
      <c r="G21" s="24">
        <f>TTCHUNG!E9</f>
        <v>0</v>
      </c>
      <c r="H21" s="71" t="s">
        <v>21</v>
      </c>
      <c r="I21" s="75" t="str">
        <f>TTCHUNG!C9</f>
        <v/>
      </c>
      <c r="J21" s="24"/>
    </row>
    <row r="22" spans="1:10" ht="18.75" x14ac:dyDescent="0.3">
      <c r="A22" s="24" t="s">
        <v>199</v>
      </c>
      <c r="B22" s="24"/>
      <c r="C22" s="24">
        <f>TTCHUNG!C8</f>
        <v>0</v>
      </c>
      <c r="D22" s="24"/>
      <c r="E22" s="24"/>
      <c r="F22" s="24"/>
      <c r="G22" s="24"/>
      <c r="H22" s="24"/>
      <c r="I22" s="24"/>
      <c r="J22" s="24"/>
    </row>
    <row r="23" spans="1:10" ht="18.75" customHeight="1" x14ac:dyDescent="0.3">
      <c r="A23" s="24" t="str">
        <f>"    Nơi ĐKTT: "&amp;TTCHUNG!C11</f>
        <v xml:space="preserve">    Nơi ĐKTT: </v>
      </c>
      <c r="B23" s="46"/>
      <c r="D23" s="24"/>
      <c r="E23" s="24"/>
      <c r="F23" s="24"/>
      <c r="G23" s="24"/>
      <c r="H23" s="71"/>
      <c r="I23" s="24"/>
      <c r="J23" s="24"/>
    </row>
    <row r="24" spans="1:10" ht="18.75" x14ac:dyDescent="0.3">
      <c r="A24" s="24" t="s">
        <v>200</v>
      </c>
      <c r="B24" s="24">
        <f>TTCHUNG!C12</f>
        <v>0</v>
      </c>
      <c r="C24" s="24"/>
      <c r="D24" s="24"/>
      <c r="E24" s="132" t="s">
        <v>8</v>
      </c>
      <c r="F24" s="132"/>
      <c r="G24" s="24" t="str">
        <f>TTCHUNG!E12</f>
        <v>Việt Nam.</v>
      </c>
      <c r="H24" s="71"/>
      <c r="I24" s="24"/>
      <c r="J24" s="24"/>
    </row>
    <row r="25" spans="1:10" ht="18.75" customHeight="1" x14ac:dyDescent="0.35">
      <c r="A25" s="46" t="str">
        <f>"   Hành vi phạm tội: "&amp;TTCHUNG!C13</f>
        <v xml:space="preserve">   Hành vi phạm tội: </v>
      </c>
      <c r="B25" s="24"/>
      <c r="C25" s="107"/>
      <c r="D25" s="107"/>
      <c r="E25" s="107"/>
      <c r="F25" s="107"/>
      <c r="G25" s="107"/>
      <c r="H25" s="107"/>
      <c r="I25" s="107"/>
      <c r="J25" s="107"/>
    </row>
    <row r="26" spans="1:10" ht="18.75" x14ac:dyDescent="0.3">
      <c r="A26" s="24" t="s">
        <v>201</v>
      </c>
      <c r="B26" s="24"/>
      <c r="C26" s="75" t="str">
        <f>TTCHUNG!C14</f>
        <v/>
      </c>
      <c r="D26" s="24"/>
      <c r="E26" s="24"/>
      <c r="F26" s="154" t="s">
        <v>163</v>
      </c>
      <c r="G26" s="154"/>
      <c r="H26" s="154"/>
      <c r="I26" s="154"/>
      <c r="J26" s="154"/>
    </row>
    <row r="27" spans="1:10" ht="18.75" x14ac:dyDescent="0.3">
      <c r="A27" s="24" t="s">
        <v>202</v>
      </c>
      <c r="B27" s="24"/>
      <c r="C27" s="24"/>
      <c r="D27" s="24"/>
      <c r="E27" s="24"/>
      <c r="F27" s="24"/>
      <c r="G27" s="24"/>
      <c r="H27" s="24"/>
      <c r="I27" s="24"/>
      <c r="J27" s="24"/>
    </row>
    <row r="28" spans="1:10" ht="18.75" x14ac:dyDescent="0.25">
      <c r="A28" s="38" t="str">
        <f>"   Hồ sơ tài liệu của: "&amp;TTCHUNG!D7&amp; " gồm       trang, đã bàn giao theo quy định."</f>
        <v xml:space="preserve">   Hồ sơ tài liệu của:  gồm       trang, đã bàn giao theo quy định.</v>
      </c>
      <c r="B28" s="38"/>
      <c r="C28" s="43"/>
      <c r="D28" s="43"/>
      <c r="E28" s="43"/>
      <c r="F28" s="92"/>
      <c r="G28" s="92"/>
      <c r="H28" s="92"/>
      <c r="I28" s="92"/>
    </row>
    <row r="29" spans="1:10" ht="38.25" customHeight="1" x14ac:dyDescent="0.25">
      <c r="A29" s="130" t="str">
        <f>"       Biên bản lập xong hồi ...... giờ....... phút, ngày " &amp;TTCHUNG!C15&amp;", đã đọc lại cho những người có tên trong biên bản nghe, đồng ý với nội dung biên bản và ký tên dưới đây./."</f>
        <v xml:space="preserve">       Biên bản lập xong hồi ...... giờ....... phút, ngày , đã đọc lại cho những người có tên trong biên bản nghe, đồng ý với nội dung biên bản và ký tên dưới đây./.</v>
      </c>
      <c r="B29" s="130"/>
      <c r="C29" s="130"/>
      <c r="D29" s="130"/>
      <c r="E29" s="130"/>
      <c r="F29" s="130"/>
      <c r="G29" s="130"/>
      <c r="H29" s="130"/>
      <c r="I29" s="130"/>
      <c r="J29" s="130"/>
    </row>
    <row r="30" spans="1:10" ht="18.75" x14ac:dyDescent="0.25">
      <c r="A30" s="23"/>
      <c r="B30" s="23"/>
      <c r="C30" s="23"/>
      <c r="D30" s="23"/>
      <c r="E30" s="23"/>
      <c r="F30" s="23"/>
      <c r="G30" s="23"/>
      <c r="H30" s="23"/>
      <c r="I30" s="23"/>
      <c r="J30" s="23"/>
    </row>
    <row r="31" spans="1:10" ht="18.75" x14ac:dyDescent="0.25">
      <c r="A31" s="146" t="s">
        <v>164</v>
      </c>
      <c r="B31" s="146"/>
      <c r="C31" s="146"/>
      <c r="D31" s="146"/>
      <c r="E31" s="124" t="s">
        <v>165</v>
      </c>
      <c r="F31" s="124"/>
      <c r="G31" s="124"/>
      <c r="H31" s="124" t="s">
        <v>166</v>
      </c>
      <c r="I31" s="124"/>
      <c r="J31" s="124"/>
    </row>
    <row r="32" spans="1:10" x14ac:dyDescent="0.25">
      <c r="A32" s="147" t="s">
        <v>167</v>
      </c>
      <c r="B32" s="147"/>
      <c r="C32" s="147"/>
      <c r="D32" s="147"/>
      <c r="E32" s="147" t="s">
        <v>24</v>
      </c>
      <c r="F32" s="147"/>
      <c r="G32" s="147"/>
      <c r="H32" s="147" t="s">
        <v>24</v>
      </c>
      <c r="I32" s="147"/>
      <c r="J32" s="147"/>
    </row>
    <row r="33" spans="1:10" ht="15.75" x14ac:dyDescent="0.25">
      <c r="H33" s="26"/>
    </row>
    <row r="34" spans="1:10" ht="15.75" x14ac:dyDescent="0.25">
      <c r="H34" s="27"/>
    </row>
    <row r="35" spans="1:10" ht="15.75" x14ac:dyDescent="0.25">
      <c r="H35" s="27"/>
    </row>
    <row r="36" spans="1:10" ht="15.75" x14ac:dyDescent="0.25">
      <c r="H36" s="27"/>
    </row>
    <row r="37" spans="1:10" ht="15.75" x14ac:dyDescent="0.25">
      <c r="H37" s="25"/>
    </row>
    <row r="38" spans="1:10" ht="18.75" x14ac:dyDescent="0.3">
      <c r="A38" s="93" t="s">
        <v>159</v>
      </c>
      <c r="E38" s="152">
        <f>+B11</f>
        <v>0</v>
      </c>
      <c r="F38" s="152"/>
      <c r="G38" s="152"/>
      <c r="H38" s="153"/>
      <c r="I38" s="153"/>
      <c r="J38" s="153"/>
    </row>
    <row r="39" spans="1:10" x14ac:dyDescent="0.25">
      <c r="A39" s="94" t="s">
        <v>168</v>
      </c>
    </row>
    <row r="40" spans="1:10" x14ac:dyDescent="0.25">
      <c r="A40" s="28" t="s">
        <v>169</v>
      </c>
    </row>
    <row r="41" spans="1:10" x14ac:dyDescent="0.25">
      <c r="A41" s="28"/>
    </row>
  </sheetData>
  <mergeCells count="18">
    <mergeCell ref="A29:J29"/>
    <mergeCell ref="A1:J1"/>
    <mergeCell ref="A2:J2"/>
    <mergeCell ref="A5:J5"/>
    <mergeCell ref="A6:J6"/>
    <mergeCell ref="A8:J8"/>
    <mergeCell ref="A9:J9"/>
    <mergeCell ref="E21:F21"/>
    <mergeCell ref="E24:F24"/>
    <mergeCell ref="F26:J26"/>
    <mergeCell ref="E38:G38"/>
    <mergeCell ref="H38:J38"/>
    <mergeCell ref="A31:D31"/>
    <mergeCell ref="E31:G31"/>
    <mergeCell ref="H31:J31"/>
    <mergeCell ref="A32:D32"/>
    <mergeCell ref="E32:G32"/>
    <mergeCell ref="H32:J32"/>
  </mergeCells>
  <printOptions horizontalCentered="1" verticalCentered="1"/>
  <pageMargins left="0.7" right="0.2" top="0.25" bottom="0.25" header="0.3" footer="0.3"/>
  <pageSetup scale="9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FF00"/>
  </sheetPr>
  <dimension ref="A4:O44"/>
  <sheetViews>
    <sheetView view="pageBreakPreview" topLeftCell="A7" zoomScaleNormal="85" zoomScaleSheetLayoutView="100" workbookViewId="0">
      <selection activeCell="A21" sqref="A21:J21"/>
    </sheetView>
  </sheetViews>
  <sheetFormatPr defaultColWidth="9.140625" defaultRowHeight="18.75" x14ac:dyDescent="0.3"/>
  <cols>
    <col min="1" max="1" width="13.42578125" style="22" customWidth="1"/>
    <col min="2" max="2" width="2.7109375" style="22" customWidth="1"/>
    <col min="3" max="3" width="4.140625" style="22" customWidth="1"/>
    <col min="4" max="4" width="15.42578125" style="22" customWidth="1"/>
    <col min="5" max="5" width="8" style="22" customWidth="1"/>
    <col min="6" max="6" width="11.42578125" style="22" customWidth="1"/>
    <col min="7" max="7" width="10.140625" style="22" customWidth="1"/>
    <col min="8" max="8" width="5.5703125" style="22" customWidth="1"/>
    <col min="9" max="9" width="10.140625" style="22" customWidth="1"/>
    <col min="10" max="10" width="12.140625" style="22" customWidth="1"/>
    <col min="11" max="15" width="9.140625" style="1"/>
    <col min="16" max="16384" width="9.140625" style="22"/>
  </cols>
  <sheetData>
    <row r="4" spans="1:15" s="21" customFormat="1" x14ac:dyDescent="0.3">
      <c r="A4" s="139" t="s">
        <v>38</v>
      </c>
      <c r="B4" s="139"/>
      <c r="C4" s="139"/>
      <c r="D4" s="139"/>
      <c r="E4" s="141" t="s">
        <v>16</v>
      </c>
      <c r="F4" s="141"/>
      <c r="G4" s="141"/>
      <c r="H4" s="141"/>
      <c r="I4" s="141"/>
      <c r="J4" s="141"/>
      <c r="K4" s="11"/>
      <c r="L4" s="11"/>
      <c r="M4" s="11"/>
      <c r="N4" s="11"/>
      <c r="O4" s="11"/>
    </row>
    <row r="5" spans="1:15" s="21" customFormat="1" x14ac:dyDescent="0.3">
      <c r="A5" s="140" t="s">
        <v>39</v>
      </c>
      <c r="B5" s="140"/>
      <c r="C5" s="140"/>
      <c r="D5" s="140"/>
      <c r="E5" s="141" t="s">
        <v>147</v>
      </c>
      <c r="F5" s="141"/>
      <c r="G5" s="141"/>
      <c r="H5" s="141"/>
      <c r="I5" s="141"/>
      <c r="J5" s="141"/>
      <c r="K5" s="3"/>
      <c r="L5" s="3"/>
      <c r="M5" s="3"/>
      <c r="N5" s="3"/>
      <c r="O5" s="3"/>
    </row>
    <row r="6" spans="1:15" x14ac:dyDescent="0.3">
      <c r="A6" s="125"/>
      <c r="B6" s="125"/>
      <c r="C6" s="125"/>
      <c r="D6" s="125"/>
      <c r="K6" s="11"/>
      <c r="L6" s="11"/>
      <c r="M6" s="11"/>
      <c r="N6" s="11"/>
      <c r="O6" s="11"/>
    </row>
    <row r="7" spans="1:15" x14ac:dyDescent="0.3">
      <c r="A7" s="133"/>
      <c r="B7" s="133"/>
      <c r="C7" s="133"/>
      <c r="D7" s="133"/>
      <c r="E7" s="142" t="s">
        <v>225</v>
      </c>
      <c r="F7" s="142"/>
      <c r="G7" s="142"/>
      <c r="H7" s="142"/>
      <c r="I7" s="142"/>
      <c r="J7" s="142"/>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43" t="s">
        <v>28</v>
      </c>
      <c r="B9" s="143"/>
      <c r="C9" s="143"/>
      <c r="D9" s="143"/>
      <c r="E9" s="143"/>
      <c r="F9" s="143"/>
      <c r="G9" s="143"/>
      <c r="H9" s="143"/>
      <c r="I9" s="143"/>
      <c r="J9" s="143"/>
      <c r="K9" s="11"/>
      <c r="L9" s="11"/>
      <c r="M9" s="11"/>
      <c r="N9" s="11"/>
      <c r="O9" s="11"/>
    </row>
    <row r="10" spans="1:15" ht="19.5" x14ac:dyDescent="0.35">
      <c r="A10" s="155" t="s">
        <v>151</v>
      </c>
      <c r="B10" s="156"/>
      <c r="C10" s="156"/>
      <c r="D10" s="156"/>
      <c r="E10" s="156"/>
      <c r="F10" s="156"/>
      <c r="G10" s="156"/>
      <c r="H10" s="156"/>
      <c r="I10" s="156"/>
      <c r="J10" s="156"/>
      <c r="K10" s="11"/>
      <c r="L10" s="11"/>
      <c r="M10" s="11"/>
      <c r="N10" s="11"/>
      <c r="O10" s="11"/>
    </row>
    <row r="11" spans="1:15" x14ac:dyDescent="0.3">
      <c r="A11" s="20"/>
      <c r="B11" s="20"/>
      <c r="C11" s="20"/>
      <c r="D11" s="20"/>
      <c r="E11" s="20"/>
      <c r="F11" s="20"/>
      <c r="G11" s="20"/>
      <c r="H11" s="20"/>
      <c r="I11" s="20"/>
      <c r="J11" s="20"/>
      <c r="K11" s="11"/>
      <c r="L11" s="11"/>
      <c r="M11" s="11"/>
      <c r="N11" s="11"/>
      <c r="O11" s="11"/>
    </row>
    <row r="12" spans="1:15" s="24" customFormat="1" x14ac:dyDescent="0.3">
      <c r="A12" s="24" t="s">
        <v>19</v>
      </c>
      <c r="B12" s="68">
        <f>TTCHUNG!C7</f>
        <v>0</v>
      </c>
      <c r="F12" s="24" t="s">
        <v>20</v>
      </c>
      <c r="G12" s="24">
        <f>TTCHUNG!E9</f>
        <v>0</v>
      </c>
      <c r="H12" s="132" t="s">
        <v>21</v>
      </c>
      <c r="I12" s="132"/>
      <c r="J12" s="76" t="str">
        <f>TTCHUNG!C9</f>
        <v/>
      </c>
      <c r="K12" s="11"/>
      <c r="L12" s="11"/>
      <c r="M12" s="11"/>
      <c r="N12" s="11"/>
      <c r="O12" s="11"/>
    </row>
    <row r="13" spans="1:15" s="24" customFormat="1" x14ac:dyDescent="0.3">
      <c r="A13" s="24" t="s">
        <v>3</v>
      </c>
      <c r="C13" s="24">
        <f>TTCHUNG!C8</f>
        <v>0</v>
      </c>
      <c r="K13" s="11"/>
      <c r="L13" s="11"/>
      <c r="M13" s="11"/>
      <c r="N13" s="11"/>
      <c r="O13" s="11"/>
    </row>
    <row r="14" spans="1:15" s="24" customFormat="1" x14ac:dyDescent="0.3">
      <c r="A14" s="24" t="s">
        <v>4</v>
      </c>
      <c r="K14" s="11"/>
      <c r="L14" s="11"/>
      <c r="M14" s="11"/>
      <c r="N14" s="11"/>
      <c r="O14" s="11"/>
    </row>
    <row r="15" spans="1:15" s="24" customFormat="1" x14ac:dyDescent="0.3">
      <c r="A15" s="24" t="s">
        <v>5</v>
      </c>
      <c r="B15" s="157">
        <f>TTCHUNG!C11</f>
        <v>0</v>
      </c>
      <c r="C15" s="157"/>
      <c r="D15" s="157"/>
      <c r="E15" s="157"/>
      <c r="F15" s="157"/>
      <c r="G15" s="157"/>
      <c r="H15" s="157"/>
      <c r="I15" s="157"/>
      <c r="J15" s="157"/>
      <c r="K15" s="11"/>
      <c r="L15" s="11"/>
      <c r="M15" s="11"/>
      <c r="N15" s="11"/>
      <c r="O15" s="11"/>
    </row>
    <row r="16" spans="1:15" s="24" customFormat="1" x14ac:dyDescent="0.3">
      <c r="A16" s="24" t="s">
        <v>7</v>
      </c>
      <c r="B16" s="24">
        <f>TTCHUNG!C12</f>
        <v>0</v>
      </c>
      <c r="F16" s="24" t="s">
        <v>8</v>
      </c>
      <c r="G16" s="24" t="str">
        <f>TTCHUNG!E12</f>
        <v>Việt Nam.</v>
      </c>
      <c r="K16" s="11"/>
      <c r="L16" s="11"/>
      <c r="M16" s="11"/>
      <c r="N16" s="11"/>
      <c r="O16" s="11"/>
    </row>
    <row r="17" spans="1:15" s="24" customFormat="1" x14ac:dyDescent="0.3">
      <c r="A17" s="24" t="s">
        <v>29</v>
      </c>
      <c r="D17" s="74"/>
      <c r="E17" s="24" t="str">
        <f>TTCHUNG!G12</f>
        <v>Lao động tự do.</v>
      </c>
      <c r="K17" s="11"/>
      <c r="L17" s="11"/>
      <c r="M17" s="11"/>
      <c r="N17" s="11"/>
      <c r="O17" s="11"/>
    </row>
    <row r="18" spans="1:15" s="24" customFormat="1" ht="19.5" x14ac:dyDescent="0.35">
      <c r="A18" s="24" t="s">
        <v>18</v>
      </c>
      <c r="D18" s="32">
        <f>TTCHUNG!C13</f>
        <v>0</v>
      </c>
      <c r="K18" s="11"/>
      <c r="L18" s="11"/>
      <c r="M18" s="11"/>
      <c r="N18" s="11"/>
      <c r="O18" s="11"/>
    </row>
    <row r="19" spans="1:15" s="24" customFormat="1" x14ac:dyDescent="0.3">
      <c r="A19" s="24" t="s">
        <v>10</v>
      </c>
      <c r="B19" s="134" t="str">
        <f>TTCHUNG!C14</f>
        <v/>
      </c>
      <c r="C19" s="134"/>
      <c r="D19" s="134"/>
      <c r="E19" s="71"/>
      <c r="F19" s="46"/>
      <c r="K19" s="11"/>
      <c r="L19" s="11"/>
      <c r="M19" s="11"/>
      <c r="N19" s="11"/>
      <c r="O19" s="11"/>
    </row>
    <row r="20" spans="1:15" s="24" customFormat="1" x14ac:dyDescent="0.3">
      <c r="A20" s="24" t="s">
        <v>30</v>
      </c>
      <c r="K20" s="11"/>
      <c r="L20" s="11"/>
      <c r="M20" s="11"/>
      <c r="N20" s="11"/>
      <c r="O20" s="11"/>
    </row>
    <row r="21" spans="1:15" s="24" customFormat="1" x14ac:dyDescent="0.3">
      <c r="A21" s="143" t="s">
        <v>31</v>
      </c>
      <c r="B21" s="143"/>
      <c r="C21" s="143"/>
      <c r="D21" s="143"/>
      <c r="E21" s="143"/>
      <c r="F21" s="143"/>
      <c r="G21" s="143"/>
      <c r="H21" s="143"/>
      <c r="I21" s="143"/>
      <c r="J21" s="143"/>
      <c r="K21" s="11"/>
      <c r="L21" s="11"/>
      <c r="M21" s="11"/>
      <c r="N21" s="11"/>
      <c r="O21" s="11"/>
    </row>
    <row r="22" spans="1:15" s="24" customFormat="1" ht="18.75" customHeight="1" x14ac:dyDescent="0.3">
      <c r="A22" s="158" t="str">
        <f>"( Từ ngày "&amp; TTCHUNG!C14 &amp; " đến ngày          /       /2026)"</f>
        <v>( Từ ngày  đến ngày          /       /2026)</v>
      </c>
      <c r="B22" s="158"/>
      <c r="C22" s="158"/>
      <c r="D22" s="158"/>
      <c r="E22" s="158"/>
      <c r="F22" s="158"/>
      <c r="G22" s="158"/>
      <c r="H22" s="158"/>
      <c r="I22" s="158"/>
      <c r="J22" s="158"/>
      <c r="K22" s="1"/>
      <c r="L22" s="1"/>
      <c r="M22" s="1"/>
      <c r="N22" s="1"/>
      <c r="O22" s="1"/>
    </row>
    <row r="23" spans="1:15" s="24" customFormat="1" x14ac:dyDescent="0.3">
      <c r="A23" s="33" t="s">
        <v>32</v>
      </c>
      <c r="K23" s="1"/>
      <c r="L23" s="1"/>
      <c r="M23" s="1"/>
      <c r="N23" s="1"/>
      <c r="O23" s="1"/>
    </row>
    <row r="24" spans="1:15" s="24" customFormat="1" x14ac:dyDescent="0.3">
      <c r="A24" s="24" t="s">
        <v>37</v>
      </c>
      <c r="K24" s="11"/>
      <c r="L24" s="11"/>
      <c r="M24" s="11"/>
      <c r="N24" s="11"/>
      <c r="O24" s="11"/>
    </row>
    <row r="25" spans="1:15" s="24" customFormat="1" x14ac:dyDescent="0.3">
      <c r="A25" s="33" t="s">
        <v>33</v>
      </c>
      <c r="K25" s="11"/>
      <c r="L25" s="11"/>
      <c r="M25" s="11"/>
      <c r="N25" s="11"/>
      <c r="O25" s="11"/>
    </row>
    <row r="26" spans="1:15" s="24" customFormat="1" x14ac:dyDescent="0.3">
      <c r="A26" s="24" t="s">
        <v>143</v>
      </c>
      <c r="K26" s="11"/>
      <c r="L26" s="11"/>
      <c r="M26" s="11"/>
      <c r="N26" s="11"/>
      <c r="O26" s="11"/>
    </row>
    <row r="27" spans="1:15" s="24" customFormat="1" x14ac:dyDescent="0.3">
      <c r="A27" s="33" t="s">
        <v>34</v>
      </c>
      <c r="E27" s="24" t="s">
        <v>35</v>
      </c>
      <c r="K27" s="11"/>
      <c r="L27" s="11"/>
      <c r="M27" s="11"/>
      <c r="N27" s="11"/>
      <c r="O27" s="11"/>
    </row>
    <row r="28" spans="1:15" s="24" customFormat="1" ht="18" customHeight="1" x14ac:dyDescent="0.3">
      <c r="K28" s="11"/>
      <c r="L28" s="11"/>
      <c r="M28" s="11"/>
      <c r="N28" s="11"/>
      <c r="O28" s="11"/>
    </row>
    <row r="29" spans="1:15" s="47" customFormat="1" ht="15.75" customHeight="1" x14ac:dyDescent="0.3">
      <c r="A29" s="124" t="s">
        <v>152</v>
      </c>
      <c r="B29" s="124"/>
      <c r="C29" s="124"/>
      <c r="D29" s="124"/>
      <c r="E29" s="124"/>
      <c r="F29" s="124" t="s">
        <v>36</v>
      </c>
      <c r="G29" s="124"/>
      <c r="H29" s="124"/>
      <c r="I29" s="124"/>
      <c r="J29" s="124"/>
      <c r="K29" s="1"/>
      <c r="L29" s="1"/>
      <c r="M29" s="1"/>
      <c r="N29" s="1"/>
      <c r="O29" s="1"/>
    </row>
    <row r="30" spans="1:15" ht="15" customHeight="1" x14ac:dyDescent="0.3">
      <c r="A30" s="31"/>
      <c r="B30" s="147"/>
      <c r="C30" s="147"/>
      <c r="D30" s="147"/>
      <c r="E30" s="147"/>
      <c r="F30" s="31"/>
      <c r="G30" s="147"/>
      <c r="H30" s="147"/>
      <c r="I30" s="147"/>
      <c r="J30" s="147"/>
    </row>
    <row r="31" spans="1:15" x14ac:dyDescent="0.3">
      <c r="C31" s="26"/>
      <c r="H31" s="26"/>
    </row>
    <row r="32" spans="1:15" x14ac:dyDescent="0.3">
      <c r="C32" s="27"/>
      <c r="H32" s="27"/>
    </row>
    <row r="33" spans="1:10" x14ac:dyDescent="0.3">
      <c r="C33" s="27"/>
      <c r="H33" s="27"/>
    </row>
    <row r="34" spans="1:10" x14ac:dyDescent="0.3">
      <c r="C34" s="27"/>
      <c r="H34" s="27"/>
    </row>
    <row r="35" spans="1:10" x14ac:dyDescent="0.3">
      <c r="C35" s="25"/>
      <c r="H35" s="25"/>
    </row>
    <row r="36" spans="1:10" ht="18.75" customHeight="1" x14ac:dyDescent="0.3">
      <c r="A36" s="124" t="s">
        <v>153</v>
      </c>
      <c r="B36" s="124"/>
      <c r="C36" s="124"/>
      <c r="D36" s="124"/>
      <c r="E36" s="124"/>
      <c r="F36" s="124" t="s">
        <v>156</v>
      </c>
      <c r="G36" s="124"/>
      <c r="H36" s="124"/>
      <c r="I36" s="124"/>
      <c r="J36" s="124"/>
    </row>
    <row r="37" spans="1:10" x14ac:dyDescent="0.3">
      <c r="A37" s="28"/>
    </row>
    <row r="39" spans="1:10" ht="54" customHeight="1" x14ac:dyDescent="0.3"/>
    <row r="44" spans="1:10" ht="18.75" customHeight="1" x14ac:dyDescent="0.3">
      <c r="F44" s="124"/>
      <c r="G44" s="124"/>
      <c r="H44" s="124"/>
      <c r="I44" s="124"/>
      <c r="J44" s="124"/>
    </row>
  </sheetData>
  <mergeCells count="21">
    <mergeCell ref="F44:J44"/>
    <mergeCell ref="A22:J22"/>
    <mergeCell ref="A29:E29"/>
    <mergeCell ref="F29:J29"/>
    <mergeCell ref="B30:E30"/>
    <mergeCell ref="G30:J30"/>
    <mergeCell ref="A36:E36"/>
    <mergeCell ref="F36:J36"/>
    <mergeCell ref="A21:J21"/>
    <mergeCell ref="A4:D4"/>
    <mergeCell ref="E4:J4"/>
    <mergeCell ref="A5:D5"/>
    <mergeCell ref="E5:J5"/>
    <mergeCell ref="A6:D6"/>
    <mergeCell ref="A7:D7"/>
    <mergeCell ref="E7:J7"/>
    <mergeCell ref="A9:J9"/>
    <mergeCell ref="A10:J10"/>
    <mergeCell ref="H12:I12"/>
    <mergeCell ref="B15:J15"/>
    <mergeCell ref="B19:D19"/>
  </mergeCells>
  <printOptions horizontalCentered="1" verticalCentered="1"/>
  <pageMargins left="0.7" right="0.2" top="0.5" bottom="0.5" header="0.3" footer="0.3"/>
  <pageSetup paperSize="9" scale="93"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1" tint="4.9989318521683403E-2"/>
  </sheetPr>
  <dimension ref="A3:M123"/>
  <sheetViews>
    <sheetView view="pageBreakPreview" topLeftCell="A40" zoomScaleNormal="100" zoomScaleSheetLayoutView="100" workbookViewId="0">
      <selection activeCell="D44" sqref="D44"/>
    </sheetView>
  </sheetViews>
  <sheetFormatPr defaultColWidth="9.140625" defaultRowHeight="18.75" x14ac:dyDescent="0.3"/>
  <cols>
    <col min="1" max="1" width="2" style="22" customWidth="1"/>
    <col min="2" max="2" width="5.140625" style="83" customWidth="1"/>
    <col min="3" max="3" width="32" style="22" customWidth="1"/>
    <col min="4" max="4" width="26" style="22" customWidth="1"/>
    <col min="5" max="5" width="11.140625" style="22" customWidth="1"/>
    <col min="6" max="7" width="9.7109375" style="22" customWidth="1"/>
    <col min="8" max="8" width="7.28515625" style="22" customWidth="1"/>
    <col min="9" max="13" width="9.140625" style="1"/>
    <col min="14" max="16384" width="9.140625" style="22"/>
  </cols>
  <sheetData>
    <row r="3" spans="1:13" ht="11.25" customHeight="1" x14ac:dyDescent="0.3"/>
    <row r="4" spans="1:13" ht="17.25" x14ac:dyDescent="0.25">
      <c r="A4" s="139" t="s">
        <v>38</v>
      </c>
      <c r="B4" s="139"/>
      <c r="C4" s="139"/>
      <c r="D4" s="141" t="s">
        <v>16</v>
      </c>
      <c r="E4" s="141"/>
      <c r="F4" s="141"/>
      <c r="G4" s="141"/>
      <c r="I4" s="11"/>
      <c r="J4" s="11"/>
      <c r="K4" s="11"/>
      <c r="L4" s="11"/>
      <c r="M4" s="11"/>
    </row>
    <row r="5" spans="1:13" ht="17.25" x14ac:dyDescent="0.25">
      <c r="A5" s="140" t="s">
        <v>39</v>
      </c>
      <c r="B5" s="140"/>
      <c r="C5" s="140"/>
      <c r="D5" s="141" t="s">
        <v>147</v>
      </c>
      <c r="E5" s="141"/>
      <c r="F5" s="141"/>
      <c r="G5" s="141"/>
      <c r="I5" s="3"/>
      <c r="J5" s="3"/>
      <c r="K5" s="3"/>
      <c r="L5" s="3"/>
      <c r="M5" s="3"/>
    </row>
    <row r="6" spans="1:13" x14ac:dyDescent="0.3">
      <c r="A6" s="125"/>
      <c r="B6" s="125"/>
      <c r="C6" s="125"/>
      <c r="D6" s="125"/>
      <c r="E6" s="125"/>
      <c r="I6" s="11"/>
      <c r="J6" s="11"/>
      <c r="K6" s="11"/>
      <c r="L6" s="11"/>
      <c r="M6" s="11"/>
    </row>
    <row r="7" spans="1:13" x14ac:dyDescent="0.3">
      <c r="A7" s="40"/>
      <c r="B7" s="78"/>
      <c r="C7" s="125" t="s">
        <v>87</v>
      </c>
      <c r="D7" s="125"/>
      <c r="E7" s="125"/>
      <c r="F7" s="125"/>
      <c r="G7" s="41"/>
      <c r="H7" s="41"/>
      <c r="I7" s="11"/>
      <c r="J7" s="11"/>
      <c r="K7" s="11"/>
      <c r="L7" s="11"/>
      <c r="M7" s="11"/>
    </row>
    <row r="8" spans="1:13" x14ac:dyDescent="0.25">
      <c r="A8" s="143" t="s">
        <v>88</v>
      </c>
      <c r="B8" s="143"/>
      <c r="C8" s="143"/>
      <c r="D8" s="143"/>
      <c r="E8" s="143"/>
      <c r="F8" s="143"/>
      <c r="G8" s="143"/>
      <c r="H8" s="43"/>
      <c r="I8" s="11"/>
      <c r="J8" s="11"/>
      <c r="K8" s="11"/>
      <c r="L8" s="11"/>
      <c r="M8" s="11"/>
    </row>
    <row r="9" spans="1:13" x14ac:dyDescent="0.25">
      <c r="A9" s="42"/>
      <c r="B9" s="42"/>
      <c r="C9" s="143"/>
      <c r="D9" s="143"/>
      <c r="E9" s="143"/>
      <c r="F9" s="143"/>
      <c r="G9" s="143"/>
      <c r="H9" s="43"/>
      <c r="I9" s="11"/>
      <c r="J9" s="11"/>
      <c r="K9" s="11"/>
      <c r="L9" s="11"/>
      <c r="M9" s="11"/>
    </row>
    <row r="10" spans="1:13" x14ac:dyDescent="0.25">
      <c r="A10" s="42"/>
      <c r="B10" s="42"/>
      <c r="C10" s="38" t="s">
        <v>11</v>
      </c>
      <c r="D10" s="135" t="str">
        <f>TTCHUNG!C4</f>
        <v>1810GP1025/225CO</v>
      </c>
      <c r="E10" s="135"/>
      <c r="F10" s="135"/>
      <c r="G10" s="135"/>
      <c r="H10" s="43"/>
      <c r="I10" s="11"/>
      <c r="J10" s="11"/>
      <c r="K10" s="11"/>
      <c r="L10" s="11"/>
      <c r="M10" s="11"/>
    </row>
    <row r="11" spans="1:13" x14ac:dyDescent="0.25">
      <c r="A11" s="42"/>
      <c r="B11" s="42"/>
      <c r="C11" s="38" t="s">
        <v>89</v>
      </c>
      <c r="D11" s="38" t="str">
        <f>TTCHUNG!D7</f>
        <v/>
      </c>
      <c r="E11" s="79" t="s">
        <v>21</v>
      </c>
      <c r="F11" s="160" t="str">
        <f>TTCHUNG!C9</f>
        <v/>
      </c>
      <c r="G11" s="160"/>
      <c r="H11" s="43"/>
      <c r="I11" s="11"/>
      <c r="J11" s="11"/>
      <c r="K11" s="11"/>
      <c r="L11" s="11"/>
      <c r="M11" s="11"/>
    </row>
    <row r="12" spans="1:13" x14ac:dyDescent="0.25">
      <c r="A12" s="42"/>
      <c r="B12" s="42"/>
      <c r="C12" s="38" t="s">
        <v>70</v>
      </c>
      <c r="D12" s="161">
        <f>TTCHUNG!C11</f>
        <v>0</v>
      </c>
      <c r="E12" s="161"/>
      <c r="F12" s="161"/>
      <c r="G12" s="161"/>
      <c r="H12" s="161"/>
      <c r="I12" s="11"/>
      <c r="J12" s="11"/>
      <c r="K12" s="11"/>
      <c r="L12" s="11"/>
      <c r="M12" s="11"/>
    </row>
    <row r="13" spans="1:13" ht="22.5" customHeight="1" x14ac:dyDescent="0.3">
      <c r="A13" s="20"/>
      <c r="B13" s="42"/>
      <c r="C13" s="38" t="s">
        <v>1</v>
      </c>
      <c r="D13" s="159" t="str">
        <f>TTCHUNG!C5</f>
        <v>Trần Văn Dương</v>
      </c>
      <c r="E13" s="159"/>
      <c r="F13" s="159"/>
      <c r="G13" s="159"/>
      <c r="H13" s="21"/>
      <c r="I13" s="11"/>
      <c r="J13" s="11"/>
      <c r="K13" s="11"/>
      <c r="L13" s="11"/>
      <c r="M13" s="11"/>
    </row>
    <row r="14" spans="1:13" ht="22.5" customHeight="1" x14ac:dyDescent="0.3">
      <c r="A14" s="20"/>
      <c r="B14" s="42"/>
      <c r="C14" s="77"/>
      <c r="D14" s="77"/>
      <c r="E14" s="77"/>
      <c r="F14" s="77"/>
      <c r="G14" s="77"/>
      <c r="H14" s="21"/>
      <c r="I14" s="11"/>
      <c r="J14" s="11"/>
      <c r="K14" s="11"/>
      <c r="L14" s="11"/>
      <c r="M14" s="11"/>
    </row>
    <row r="15" spans="1:13" s="54" customFormat="1" ht="63.75" customHeight="1" x14ac:dyDescent="0.3">
      <c r="A15" s="53"/>
      <c r="B15" s="55" t="s">
        <v>65</v>
      </c>
      <c r="C15" s="163" t="s">
        <v>66</v>
      </c>
      <c r="D15" s="163"/>
      <c r="E15" s="56" t="s">
        <v>67</v>
      </c>
      <c r="F15" s="56" t="s">
        <v>68</v>
      </c>
      <c r="G15" s="57" t="s">
        <v>69</v>
      </c>
      <c r="H15" s="53"/>
      <c r="I15" s="11"/>
      <c r="J15" s="11"/>
      <c r="K15" s="11"/>
      <c r="L15" s="11"/>
      <c r="M15" s="11"/>
    </row>
    <row r="16" spans="1:13" s="47" customFormat="1" x14ac:dyDescent="0.3">
      <c r="B16" s="55">
        <v>1</v>
      </c>
      <c r="C16" s="164" t="s">
        <v>90</v>
      </c>
      <c r="D16" s="164"/>
      <c r="E16" s="55">
        <v>40</v>
      </c>
      <c r="F16" s="82"/>
      <c r="G16" s="81"/>
      <c r="I16" s="11"/>
      <c r="J16" s="11"/>
      <c r="K16" s="11"/>
      <c r="L16" s="11"/>
      <c r="M16" s="11"/>
    </row>
    <row r="17" spans="2:13" s="47" customFormat="1" x14ac:dyDescent="0.3">
      <c r="B17" s="82" t="s">
        <v>91</v>
      </c>
      <c r="C17" s="165" t="s">
        <v>101</v>
      </c>
      <c r="D17" s="165"/>
      <c r="E17" s="84" t="s">
        <v>100</v>
      </c>
      <c r="F17" s="82" t="str">
        <f t="shared" ref="F17:F27" si="0">E17</f>
        <v>05</v>
      </c>
      <c r="G17" s="81"/>
      <c r="I17" s="11"/>
      <c r="J17" s="11"/>
      <c r="K17" s="11"/>
      <c r="L17" s="11"/>
      <c r="M17" s="11"/>
    </row>
    <row r="18" spans="2:13" s="47" customFormat="1" x14ac:dyDescent="0.3">
      <c r="B18" s="82" t="s">
        <v>92</v>
      </c>
      <c r="C18" s="165" t="s">
        <v>102</v>
      </c>
      <c r="D18" s="165"/>
      <c r="E18" s="84" t="s">
        <v>100</v>
      </c>
      <c r="F18" s="82" t="str">
        <f t="shared" si="0"/>
        <v>05</v>
      </c>
      <c r="G18" s="81"/>
      <c r="I18" s="11"/>
      <c r="J18" s="11"/>
      <c r="K18" s="11"/>
      <c r="L18" s="11"/>
      <c r="M18" s="11"/>
    </row>
    <row r="19" spans="2:13" s="47" customFormat="1" ht="76.5" customHeight="1" x14ac:dyDescent="0.3">
      <c r="B19" s="82" t="s">
        <v>93</v>
      </c>
      <c r="C19" s="166" t="s">
        <v>103</v>
      </c>
      <c r="D19" s="166"/>
      <c r="E19" s="82">
        <v>10</v>
      </c>
      <c r="F19" s="82">
        <f t="shared" si="0"/>
        <v>10</v>
      </c>
      <c r="G19" s="81"/>
      <c r="I19" s="11"/>
      <c r="J19" s="11"/>
      <c r="K19" s="11"/>
      <c r="L19" s="11"/>
      <c r="M19" s="11"/>
    </row>
    <row r="20" spans="2:13" s="47" customFormat="1" ht="40.5" customHeight="1" x14ac:dyDescent="0.3">
      <c r="B20" s="82" t="s">
        <v>94</v>
      </c>
      <c r="C20" s="166" t="s">
        <v>104</v>
      </c>
      <c r="D20" s="166"/>
      <c r="E20" s="82">
        <v>10</v>
      </c>
      <c r="F20" s="82">
        <f t="shared" si="0"/>
        <v>10</v>
      </c>
      <c r="G20" s="81"/>
      <c r="I20" s="11"/>
      <c r="J20" s="11"/>
      <c r="K20" s="11"/>
      <c r="L20" s="11"/>
      <c r="M20" s="11"/>
    </row>
    <row r="21" spans="2:13" ht="40.5" customHeight="1" x14ac:dyDescent="0.25">
      <c r="B21" s="82" t="s">
        <v>95</v>
      </c>
      <c r="C21" s="166" t="s">
        <v>105</v>
      </c>
      <c r="D21" s="166"/>
      <c r="E21" s="84" t="s">
        <v>100</v>
      </c>
      <c r="F21" s="82" t="str">
        <f t="shared" si="0"/>
        <v>05</v>
      </c>
      <c r="G21" s="81"/>
      <c r="I21" s="11"/>
      <c r="J21" s="11"/>
      <c r="K21" s="11"/>
      <c r="L21" s="11"/>
      <c r="M21" s="11"/>
    </row>
    <row r="22" spans="2:13" ht="39" customHeight="1" x14ac:dyDescent="0.3">
      <c r="B22" s="82" t="s">
        <v>96</v>
      </c>
      <c r="C22" s="166" t="s">
        <v>106</v>
      </c>
      <c r="D22" s="166"/>
      <c r="E22" s="84" t="s">
        <v>100</v>
      </c>
      <c r="F22" s="82" t="str">
        <f t="shared" si="0"/>
        <v>05</v>
      </c>
      <c r="G22" s="81"/>
    </row>
    <row r="23" spans="2:13" x14ac:dyDescent="0.3">
      <c r="B23" s="55">
        <v>2</v>
      </c>
      <c r="C23" s="167" t="s">
        <v>97</v>
      </c>
      <c r="D23" s="167"/>
      <c r="E23" s="55">
        <v>60</v>
      </c>
      <c r="F23" s="82"/>
      <c r="G23" s="81"/>
    </row>
    <row r="24" spans="2:13" ht="82.5" customHeight="1" x14ac:dyDescent="0.25">
      <c r="B24" s="82" t="s">
        <v>98</v>
      </c>
      <c r="C24" s="166" t="s">
        <v>107</v>
      </c>
      <c r="D24" s="166"/>
      <c r="E24" s="82">
        <v>10</v>
      </c>
      <c r="F24" s="82">
        <f t="shared" si="0"/>
        <v>10</v>
      </c>
      <c r="G24" s="81"/>
      <c r="I24" s="11"/>
      <c r="J24" s="11"/>
      <c r="K24" s="11"/>
      <c r="L24" s="11"/>
      <c r="M24" s="11"/>
    </row>
    <row r="25" spans="2:13" ht="52.5" customHeight="1" x14ac:dyDescent="0.25">
      <c r="B25" s="82" t="s">
        <v>99</v>
      </c>
      <c r="C25" s="166" t="s">
        <v>119</v>
      </c>
      <c r="D25" s="166"/>
      <c r="E25" s="55">
        <v>30</v>
      </c>
      <c r="F25" s="82"/>
      <c r="G25" s="81"/>
      <c r="I25" s="11"/>
      <c r="J25" s="11"/>
      <c r="K25" s="11"/>
      <c r="L25" s="11"/>
      <c r="M25" s="11"/>
    </row>
    <row r="26" spans="2:13" ht="87" customHeight="1" x14ac:dyDescent="0.25">
      <c r="B26" s="82"/>
      <c r="C26" s="162" t="s">
        <v>120</v>
      </c>
      <c r="D26" s="162"/>
      <c r="E26" s="82">
        <v>10</v>
      </c>
      <c r="F26" s="82">
        <f t="shared" si="0"/>
        <v>10</v>
      </c>
      <c r="G26" s="81"/>
      <c r="I26" s="11"/>
      <c r="J26" s="11"/>
      <c r="K26" s="11"/>
      <c r="L26" s="11"/>
      <c r="M26" s="11"/>
    </row>
    <row r="27" spans="2:13" ht="82.5" customHeight="1" x14ac:dyDescent="0.25">
      <c r="B27" s="82"/>
      <c r="C27" s="166" t="s">
        <v>122</v>
      </c>
      <c r="D27" s="166"/>
      <c r="E27" s="82">
        <v>10</v>
      </c>
      <c r="F27" s="82">
        <f t="shared" si="0"/>
        <v>10</v>
      </c>
      <c r="G27" s="81"/>
      <c r="I27" s="11"/>
      <c r="J27" s="11"/>
      <c r="K27" s="11"/>
      <c r="L27" s="11"/>
      <c r="M27" s="11"/>
    </row>
    <row r="28" spans="2:13" ht="83.25" customHeight="1" x14ac:dyDescent="0.25">
      <c r="B28" s="82"/>
      <c r="C28" s="162" t="s">
        <v>121</v>
      </c>
      <c r="D28" s="166"/>
      <c r="E28" s="82"/>
      <c r="F28" s="82"/>
      <c r="G28" s="81"/>
      <c r="I28" s="11"/>
      <c r="J28" s="11"/>
      <c r="K28" s="11"/>
      <c r="L28" s="11"/>
      <c r="M28" s="11"/>
    </row>
    <row r="29" spans="2:13" ht="101.25" customHeight="1" x14ac:dyDescent="0.3">
      <c r="B29" s="82"/>
      <c r="C29" s="166" t="s">
        <v>123</v>
      </c>
      <c r="D29" s="166"/>
      <c r="E29" s="82">
        <v>10</v>
      </c>
      <c r="F29" s="82">
        <f>E29</f>
        <v>10</v>
      </c>
      <c r="G29" s="81"/>
    </row>
    <row r="30" spans="2:13" ht="72" customHeight="1" x14ac:dyDescent="0.3">
      <c r="B30" s="82" t="s">
        <v>108</v>
      </c>
      <c r="C30" s="166" t="s">
        <v>124</v>
      </c>
      <c r="D30" s="166"/>
      <c r="E30" s="84" t="s">
        <v>100</v>
      </c>
      <c r="F30" s="82" t="str">
        <f t="shared" ref="F30:F32" si="1">E30</f>
        <v>05</v>
      </c>
      <c r="G30" s="81"/>
    </row>
    <row r="31" spans="2:13" ht="67.5" customHeight="1" x14ac:dyDescent="0.3">
      <c r="B31" s="82" t="s">
        <v>109</v>
      </c>
      <c r="C31" s="166" t="s">
        <v>125</v>
      </c>
      <c r="D31" s="166"/>
      <c r="E31" s="84">
        <v>10</v>
      </c>
      <c r="F31" s="82">
        <f t="shared" si="1"/>
        <v>10</v>
      </c>
      <c r="G31" s="81"/>
    </row>
    <row r="32" spans="2:13" ht="54.75" customHeight="1" x14ac:dyDescent="0.3">
      <c r="B32" s="82" t="s">
        <v>110</v>
      </c>
      <c r="C32" s="166" t="s">
        <v>126</v>
      </c>
      <c r="D32" s="166"/>
      <c r="E32" s="84" t="s">
        <v>100</v>
      </c>
      <c r="F32" s="82" t="str">
        <f t="shared" si="1"/>
        <v>05</v>
      </c>
      <c r="G32" s="81"/>
    </row>
    <row r="33" spans="1:7" x14ac:dyDescent="0.3">
      <c r="B33" s="55">
        <v>3</v>
      </c>
      <c r="C33" s="167" t="s">
        <v>111</v>
      </c>
      <c r="D33" s="167"/>
      <c r="E33" s="55">
        <v>-100</v>
      </c>
      <c r="F33" s="82"/>
      <c r="G33" s="81"/>
    </row>
    <row r="34" spans="1:7" ht="36" customHeight="1" x14ac:dyDescent="0.3">
      <c r="B34" s="82" t="s">
        <v>112</v>
      </c>
      <c r="C34" s="166" t="s">
        <v>127</v>
      </c>
      <c r="D34" s="166"/>
      <c r="E34" s="82">
        <v>-100</v>
      </c>
      <c r="F34" s="82"/>
      <c r="G34" s="81"/>
    </row>
    <row r="35" spans="1:7" x14ac:dyDescent="0.3">
      <c r="B35" s="82" t="s">
        <v>113</v>
      </c>
      <c r="C35" s="165" t="s">
        <v>128</v>
      </c>
      <c r="D35" s="165"/>
      <c r="E35" s="82">
        <v>-50</v>
      </c>
      <c r="F35" s="82"/>
      <c r="G35" s="81"/>
    </row>
    <row r="36" spans="1:7" x14ac:dyDescent="0.3">
      <c r="B36" s="82" t="s">
        <v>114</v>
      </c>
      <c r="C36" s="165" t="s">
        <v>129</v>
      </c>
      <c r="D36" s="165"/>
      <c r="E36" s="82">
        <v>-100</v>
      </c>
      <c r="F36" s="82"/>
      <c r="G36" s="81"/>
    </row>
    <row r="37" spans="1:7" ht="48.75" customHeight="1" x14ac:dyDescent="0.3">
      <c r="B37" s="82" t="s">
        <v>115</v>
      </c>
      <c r="C37" s="166" t="s">
        <v>134</v>
      </c>
      <c r="D37" s="166"/>
      <c r="E37" s="82">
        <v>-50</v>
      </c>
      <c r="F37" s="82"/>
      <c r="G37" s="81"/>
    </row>
    <row r="38" spans="1:7" ht="57" customHeight="1" x14ac:dyDescent="0.3">
      <c r="B38" s="82" t="s">
        <v>116</v>
      </c>
      <c r="C38" s="166" t="s">
        <v>130</v>
      </c>
      <c r="D38" s="166"/>
      <c r="E38" s="82">
        <v>-50</v>
      </c>
      <c r="F38" s="82"/>
      <c r="G38" s="81"/>
    </row>
    <row r="39" spans="1:7" ht="68.25" customHeight="1" x14ac:dyDescent="0.3">
      <c r="B39" s="82" t="s">
        <v>117</v>
      </c>
      <c r="C39" s="166" t="s">
        <v>131</v>
      </c>
      <c r="D39" s="166"/>
      <c r="E39" s="82">
        <v>-100</v>
      </c>
      <c r="F39" s="82"/>
      <c r="G39" s="81"/>
    </row>
    <row r="40" spans="1:7" x14ac:dyDescent="0.3">
      <c r="B40" s="82"/>
      <c r="C40" s="163" t="s">
        <v>118</v>
      </c>
      <c r="D40" s="163"/>
      <c r="E40" s="55">
        <v>100</v>
      </c>
      <c r="F40" s="82">
        <v>100</v>
      </c>
      <c r="G40" s="81"/>
    </row>
    <row r="41" spans="1:7" x14ac:dyDescent="0.3">
      <c r="B41" s="80"/>
      <c r="C41" s="29"/>
      <c r="D41" s="29"/>
      <c r="E41" s="80"/>
      <c r="F41" s="70"/>
      <c r="G41" s="70"/>
    </row>
    <row r="42" spans="1:7" x14ac:dyDescent="0.3">
      <c r="B42" s="80"/>
      <c r="C42" s="38" t="s">
        <v>132</v>
      </c>
      <c r="D42" s="43" t="s">
        <v>133</v>
      </c>
      <c r="E42" s="29"/>
      <c r="F42" s="29"/>
      <c r="G42" s="29"/>
    </row>
    <row r="43" spans="1:7" x14ac:dyDescent="0.3">
      <c r="B43" s="80"/>
      <c r="C43" s="29"/>
      <c r="D43" s="168" t="s">
        <v>226</v>
      </c>
      <c r="E43" s="168"/>
      <c r="F43" s="168"/>
      <c r="G43" s="168"/>
    </row>
    <row r="44" spans="1:7" x14ac:dyDescent="0.3">
      <c r="B44" s="80"/>
      <c r="C44" s="29"/>
      <c r="D44" s="29"/>
      <c r="E44" s="80"/>
      <c r="F44" s="70"/>
      <c r="G44" s="70"/>
    </row>
    <row r="45" spans="1:7" x14ac:dyDescent="0.3">
      <c r="B45" s="80"/>
      <c r="C45" s="29"/>
      <c r="D45" s="29"/>
      <c r="E45" s="80"/>
      <c r="F45" s="70"/>
      <c r="G45" s="70"/>
    </row>
    <row r="46" spans="1:7" x14ac:dyDescent="0.3">
      <c r="A46" s="125"/>
      <c r="B46" s="125"/>
      <c r="C46" s="125"/>
      <c r="D46" s="43"/>
      <c r="E46" s="80"/>
      <c r="F46" s="70"/>
      <c r="G46" s="70"/>
    </row>
    <row r="47" spans="1:7" x14ac:dyDescent="0.3">
      <c r="B47" s="80"/>
      <c r="C47" s="29"/>
      <c r="D47" s="29"/>
      <c r="E47" s="80"/>
      <c r="F47" s="70"/>
      <c r="G47" s="70"/>
    </row>
    <row r="48" spans="1:7" x14ac:dyDescent="0.3">
      <c r="B48" s="80"/>
      <c r="C48" s="29"/>
      <c r="D48" s="29"/>
      <c r="E48" s="80"/>
      <c r="F48" s="70"/>
      <c r="G48" s="70"/>
    </row>
    <row r="49" spans="2:7" x14ac:dyDescent="0.3">
      <c r="B49" s="80"/>
      <c r="C49"/>
      <c r="D49"/>
      <c r="E49" s="80"/>
      <c r="F49" s="70"/>
      <c r="G49" s="70"/>
    </row>
    <row r="50" spans="2:7" x14ac:dyDescent="0.3">
      <c r="B50" s="80"/>
      <c r="C50" s="29"/>
      <c r="D50" s="29"/>
      <c r="E50" s="80"/>
      <c r="F50" s="70"/>
      <c r="G50" s="70"/>
    </row>
    <row r="51" spans="2:7" x14ac:dyDescent="0.3">
      <c r="B51" s="80"/>
      <c r="C51" s="29"/>
      <c r="D51" s="29"/>
      <c r="E51" s="80"/>
      <c r="F51" s="70"/>
      <c r="G51" s="70"/>
    </row>
    <row r="52" spans="2:7" x14ac:dyDescent="0.3">
      <c r="B52" s="80"/>
      <c r="C52" s="29"/>
      <c r="D52" s="29"/>
      <c r="E52" s="86" t="s">
        <v>27</v>
      </c>
      <c r="F52" s="169" t="str">
        <f>TTCHUNG!C5</f>
        <v>Trần Văn Dương</v>
      </c>
      <c r="G52" s="169"/>
    </row>
    <row r="53" spans="2:7" x14ac:dyDescent="0.3">
      <c r="B53" s="80"/>
      <c r="C53" s="29"/>
      <c r="D53" s="29"/>
      <c r="E53" s="80"/>
      <c r="F53" s="70"/>
      <c r="G53" s="70"/>
    </row>
    <row r="54" spans="2:7" x14ac:dyDescent="0.3">
      <c r="B54" s="80"/>
      <c r="C54" s="70"/>
      <c r="D54" s="70"/>
      <c r="E54" s="80"/>
      <c r="F54" s="70"/>
      <c r="G54" s="70"/>
    </row>
    <row r="55" spans="2:7" x14ac:dyDescent="0.3">
      <c r="B55" s="80"/>
      <c r="C55" s="70"/>
      <c r="D55" s="70"/>
      <c r="E55" s="80"/>
      <c r="F55" s="70"/>
      <c r="G55" s="70"/>
    </row>
    <row r="56" spans="2:7" x14ac:dyDescent="0.3">
      <c r="B56" s="80"/>
      <c r="C56" s="70"/>
      <c r="D56" s="70"/>
      <c r="E56" s="80"/>
      <c r="F56" s="70"/>
      <c r="G56" s="70"/>
    </row>
    <row r="57" spans="2:7" x14ac:dyDescent="0.3">
      <c r="B57" s="80"/>
      <c r="C57" s="70"/>
      <c r="D57" s="70"/>
      <c r="E57" s="80"/>
      <c r="F57" s="70"/>
      <c r="G57" s="70"/>
    </row>
    <row r="58" spans="2:7" x14ac:dyDescent="0.3">
      <c r="B58" s="80"/>
      <c r="C58" s="70"/>
      <c r="D58" s="70"/>
      <c r="E58" s="80"/>
      <c r="F58" s="70"/>
      <c r="G58" s="70"/>
    </row>
    <row r="59" spans="2:7" x14ac:dyDescent="0.3">
      <c r="B59" s="80"/>
      <c r="C59" s="70"/>
      <c r="D59" s="70"/>
      <c r="E59" s="80"/>
      <c r="F59" s="70"/>
      <c r="G59" s="70"/>
    </row>
    <row r="60" spans="2:7" x14ac:dyDescent="0.3">
      <c r="B60" s="80"/>
      <c r="C60" s="70"/>
      <c r="D60" s="70"/>
      <c r="E60" s="80"/>
      <c r="F60" s="70"/>
      <c r="G60" s="70"/>
    </row>
    <row r="61" spans="2:7" x14ac:dyDescent="0.3">
      <c r="B61" s="80"/>
      <c r="C61" s="70"/>
      <c r="D61" s="70"/>
      <c r="E61" s="80"/>
      <c r="F61" s="70"/>
      <c r="G61" s="70"/>
    </row>
    <row r="62" spans="2:7" x14ac:dyDescent="0.3">
      <c r="B62" s="80"/>
      <c r="C62" s="70"/>
      <c r="D62" s="70"/>
      <c r="E62" s="80"/>
      <c r="F62" s="70"/>
      <c r="G62" s="70"/>
    </row>
    <row r="63" spans="2:7" x14ac:dyDescent="0.3">
      <c r="B63" s="80"/>
      <c r="C63" s="70"/>
      <c r="D63" s="70"/>
      <c r="E63" s="80"/>
      <c r="F63" s="70"/>
      <c r="G63" s="70"/>
    </row>
    <row r="64" spans="2:7" x14ac:dyDescent="0.3">
      <c r="B64" s="80"/>
      <c r="C64" s="70"/>
      <c r="D64" s="70"/>
      <c r="E64" s="80"/>
      <c r="F64" s="70"/>
      <c r="G64" s="70"/>
    </row>
    <row r="65" spans="2:7" x14ac:dyDescent="0.3">
      <c r="B65" s="80"/>
      <c r="C65" s="70"/>
      <c r="D65" s="70"/>
      <c r="E65" s="80"/>
      <c r="F65" s="70"/>
      <c r="G65" s="70"/>
    </row>
    <row r="66" spans="2:7" x14ac:dyDescent="0.3">
      <c r="B66" s="80"/>
      <c r="C66" s="70"/>
      <c r="D66" s="70"/>
      <c r="E66" s="80"/>
      <c r="F66" s="70"/>
      <c r="G66" s="70"/>
    </row>
    <row r="67" spans="2:7" x14ac:dyDescent="0.3">
      <c r="B67" s="80"/>
      <c r="C67" s="70"/>
      <c r="D67" s="70"/>
      <c r="E67" s="80"/>
      <c r="F67" s="70"/>
      <c r="G67" s="70"/>
    </row>
    <row r="68" spans="2:7" x14ac:dyDescent="0.3">
      <c r="B68" s="80"/>
      <c r="C68" s="70"/>
      <c r="D68" s="70"/>
      <c r="E68" s="80"/>
      <c r="F68" s="70"/>
      <c r="G68" s="70"/>
    </row>
    <row r="69" spans="2:7" x14ac:dyDescent="0.3">
      <c r="B69" s="80"/>
      <c r="C69" s="70"/>
      <c r="D69" s="70"/>
      <c r="E69" s="80"/>
      <c r="F69" s="70"/>
      <c r="G69" s="70"/>
    </row>
    <row r="70" spans="2:7" x14ac:dyDescent="0.3">
      <c r="B70" s="80"/>
      <c r="C70" s="70"/>
      <c r="D70" s="70"/>
      <c r="E70" s="80"/>
      <c r="F70" s="70"/>
      <c r="G70" s="70"/>
    </row>
    <row r="71" spans="2:7" x14ac:dyDescent="0.3">
      <c r="B71" s="80"/>
      <c r="C71" s="70"/>
      <c r="D71" s="70"/>
      <c r="E71" s="80"/>
      <c r="F71" s="70"/>
      <c r="G71" s="70"/>
    </row>
    <row r="72" spans="2:7" x14ac:dyDescent="0.3">
      <c r="B72" s="80"/>
      <c r="C72" s="70"/>
      <c r="D72" s="70"/>
      <c r="E72" s="80"/>
      <c r="F72" s="70"/>
      <c r="G72" s="70"/>
    </row>
    <row r="73" spans="2:7" x14ac:dyDescent="0.3">
      <c r="B73" s="80"/>
      <c r="C73" s="70"/>
      <c r="D73" s="70"/>
      <c r="E73" s="80"/>
      <c r="F73" s="70"/>
      <c r="G73" s="70"/>
    </row>
    <row r="74" spans="2:7" x14ac:dyDescent="0.3">
      <c r="B74" s="80"/>
      <c r="C74" s="70"/>
      <c r="D74" s="70"/>
      <c r="E74" s="80"/>
      <c r="F74" s="70"/>
      <c r="G74" s="70"/>
    </row>
    <row r="75" spans="2:7" x14ac:dyDescent="0.3">
      <c r="B75" s="80"/>
      <c r="C75" s="70"/>
      <c r="D75" s="70"/>
      <c r="E75" s="80"/>
      <c r="F75" s="70"/>
      <c r="G75" s="70"/>
    </row>
    <row r="76" spans="2:7" x14ac:dyDescent="0.3">
      <c r="B76" s="80"/>
      <c r="C76" s="70"/>
      <c r="D76" s="70"/>
      <c r="E76" s="80"/>
      <c r="F76" s="70"/>
      <c r="G76" s="70"/>
    </row>
    <row r="77" spans="2:7" x14ac:dyDescent="0.3">
      <c r="B77" s="80"/>
      <c r="C77" s="70"/>
      <c r="D77" s="70"/>
      <c r="E77" s="80"/>
      <c r="F77" s="70"/>
      <c r="G77" s="70"/>
    </row>
    <row r="78" spans="2:7" x14ac:dyDescent="0.3">
      <c r="B78" s="80"/>
      <c r="C78" s="70"/>
      <c r="D78" s="70"/>
      <c r="E78" s="80"/>
      <c r="F78" s="70"/>
      <c r="G78" s="70"/>
    </row>
    <row r="79" spans="2:7" x14ac:dyDescent="0.3">
      <c r="B79" s="80"/>
      <c r="C79" s="70"/>
      <c r="D79" s="70"/>
      <c r="E79" s="80"/>
      <c r="F79" s="70"/>
      <c r="G79" s="70"/>
    </row>
    <row r="80" spans="2:7" x14ac:dyDescent="0.3">
      <c r="B80" s="80"/>
      <c r="C80" s="70"/>
      <c r="D80" s="70"/>
      <c r="E80" s="80"/>
      <c r="F80" s="70"/>
      <c r="G80" s="70"/>
    </row>
    <row r="81" spans="2:7" x14ac:dyDescent="0.3">
      <c r="B81" s="80"/>
      <c r="C81" s="70"/>
      <c r="D81" s="70"/>
      <c r="E81" s="80"/>
      <c r="F81" s="70"/>
      <c r="G81" s="70"/>
    </row>
    <row r="82" spans="2:7" x14ac:dyDescent="0.3">
      <c r="B82" s="80"/>
      <c r="C82" s="70"/>
      <c r="D82" s="70"/>
      <c r="E82" s="80"/>
      <c r="F82" s="70"/>
      <c r="G82" s="70"/>
    </row>
    <row r="83" spans="2:7" x14ac:dyDescent="0.3">
      <c r="B83" s="80"/>
      <c r="C83" s="70"/>
      <c r="D83" s="70"/>
      <c r="E83" s="80"/>
      <c r="F83" s="70"/>
      <c r="G83" s="70"/>
    </row>
    <row r="84" spans="2:7" x14ac:dyDescent="0.3">
      <c r="B84" s="80"/>
      <c r="C84" s="70"/>
      <c r="D84" s="70"/>
      <c r="E84" s="80"/>
      <c r="F84" s="70"/>
      <c r="G84" s="70"/>
    </row>
    <row r="85" spans="2:7" x14ac:dyDescent="0.3">
      <c r="B85" s="80"/>
      <c r="C85" s="70"/>
      <c r="D85" s="70"/>
      <c r="E85" s="80"/>
      <c r="F85" s="70"/>
      <c r="G85" s="70"/>
    </row>
    <row r="86" spans="2:7" x14ac:dyDescent="0.3">
      <c r="B86" s="80"/>
      <c r="C86" s="70"/>
      <c r="D86" s="70"/>
      <c r="E86" s="80"/>
      <c r="F86" s="70"/>
      <c r="G86" s="70"/>
    </row>
    <row r="87" spans="2:7" x14ac:dyDescent="0.3">
      <c r="B87" s="80"/>
      <c r="C87" s="70"/>
      <c r="D87" s="70"/>
      <c r="E87" s="80"/>
      <c r="F87" s="70"/>
      <c r="G87" s="70"/>
    </row>
    <row r="88" spans="2:7" x14ac:dyDescent="0.3">
      <c r="B88" s="80"/>
      <c r="C88" s="70"/>
      <c r="D88" s="70"/>
      <c r="E88" s="80"/>
      <c r="F88" s="70"/>
      <c r="G88" s="70"/>
    </row>
    <row r="89" spans="2:7" x14ac:dyDescent="0.3">
      <c r="B89" s="80"/>
      <c r="C89" s="70"/>
      <c r="D89" s="70"/>
      <c r="E89" s="80"/>
      <c r="F89" s="70"/>
      <c r="G89" s="70"/>
    </row>
    <row r="90" spans="2:7" x14ac:dyDescent="0.3">
      <c r="B90" s="80"/>
      <c r="C90" s="70"/>
      <c r="D90" s="70"/>
      <c r="E90" s="80"/>
      <c r="F90" s="70"/>
      <c r="G90" s="70"/>
    </row>
    <row r="91" spans="2:7" x14ac:dyDescent="0.3">
      <c r="B91" s="80"/>
      <c r="C91" s="70"/>
      <c r="D91" s="70"/>
      <c r="E91" s="80"/>
      <c r="F91" s="70"/>
      <c r="G91" s="70"/>
    </row>
    <row r="92" spans="2:7" x14ac:dyDescent="0.3">
      <c r="B92" s="80"/>
      <c r="C92" s="70"/>
      <c r="D92" s="70"/>
      <c r="E92" s="80"/>
      <c r="F92" s="70"/>
      <c r="G92" s="70"/>
    </row>
    <row r="93" spans="2:7" x14ac:dyDescent="0.3">
      <c r="B93" s="80"/>
      <c r="C93" s="70"/>
      <c r="D93" s="70"/>
      <c r="E93" s="80"/>
      <c r="F93" s="70"/>
      <c r="G93" s="70"/>
    </row>
    <row r="94" spans="2:7" x14ac:dyDescent="0.3">
      <c r="B94" s="80"/>
      <c r="C94" s="70"/>
      <c r="D94" s="70"/>
      <c r="E94" s="80"/>
      <c r="F94" s="70"/>
      <c r="G94" s="70"/>
    </row>
    <row r="95" spans="2:7" x14ac:dyDescent="0.3">
      <c r="B95" s="80"/>
      <c r="C95" s="70"/>
      <c r="D95" s="70"/>
      <c r="E95" s="80"/>
      <c r="F95" s="70"/>
      <c r="G95" s="70"/>
    </row>
    <row r="96" spans="2:7" x14ac:dyDescent="0.3">
      <c r="B96" s="80"/>
      <c r="C96" s="70"/>
      <c r="D96" s="70"/>
      <c r="E96" s="80"/>
      <c r="F96" s="70"/>
      <c r="G96" s="70"/>
    </row>
    <row r="97" spans="2:7" x14ac:dyDescent="0.3">
      <c r="B97" s="80"/>
      <c r="C97" s="70"/>
      <c r="D97" s="70"/>
      <c r="E97" s="80"/>
      <c r="F97" s="70"/>
      <c r="G97" s="70"/>
    </row>
    <row r="98" spans="2:7" x14ac:dyDescent="0.3">
      <c r="B98" s="80"/>
      <c r="C98" s="70"/>
      <c r="D98" s="70"/>
      <c r="E98" s="80"/>
      <c r="F98" s="70"/>
      <c r="G98" s="70"/>
    </row>
    <row r="99" spans="2:7" x14ac:dyDescent="0.3">
      <c r="B99" s="80"/>
      <c r="C99" s="70"/>
      <c r="D99" s="70"/>
      <c r="E99" s="80"/>
      <c r="F99" s="70"/>
      <c r="G99" s="70"/>
    </row>
    <row r="100" spans="2:7" x14ac:dyDescent="0.3">
      <c r="B100" s="80"/>
      <c r="C100" s="70"/>
      <c r="D100" s="70"/>
      <c r="E100" s="80"/>
      <c r="F100" s="70"/>
      <c r="G100" s="70"/>
    </row>
    <row r="101" spans="2:7" x14ac:dyDescent="0.3">
      <c r="B101" s="80"/>
      <c r="C101" s="70"/>
      <c r="D101" s="70"/>
      <c r="E101" s="80"/>
      <c r="F101" s="70"/>
      <c r="G101" s="70"/>
    </row>
    <row r="102" spans="2:7" x14ac:dyDescent="0.3">
      <c r="B102" s="80"/>
      <c r="C102" s="70"/>
      <c r="D102" s="70"/>
      <c r="E102" s="80"/>
      <c r="F102" s="70"/>
      <c r="G102" s="70"/>
    </row>
    <row r="103" spans="2:7" x14ac:dyDescent="0.3">
      <c r="B103" s="80"/>
      <c r="C103" s="70"/>
      <c r="D103" s="70"/>
      <c r="E103" s="80"/>
      <c r="F103" s="70"/>
      <c r="G103" s="70"/>
    </row>
    <row r="104" spans="2:7" x14ac:dyDescent="0.3">
      <c r="B104" s="80"/>
      <c r="C104" s="70"/>
      <c r="D104" s="70"/>
      <c r="E104" s="80"/>
      <c r="F104" s="70"/>
      <c r="G104" s="70"/>
    </row>
    <row r="105" spans="2:7" x14ac:dyDescent="0.3">
      <c r="B105" s="80"/>
      <c r="C105" s="70"/>
      <c r="D105" s="70"/>
      <c r="E105" s="80"/>
      <c r="F105" s="70"/>
      <c r="G105" s="70"/>
    </row>
    <row r="106" spans="2:7" x14ac:dyDescent="0.3">
      <c r="B106" s="80"/>
      <c r="C106" s="70"/>
      <c r="D106" s="70"/>
      <c r="E106" s="80"/>
      <c r="F106" s="70"/>
      <c r="G106" s="70"/>
    </row>
    <row r="107" spans="2:7" x14ac:dyDescent="0.3">
      <c r="B107" s="80"/>
      <c r="C107" s="70"/>
      <c r="D107" s="70"/>
      <c r="E107" s="80"/>
      <c r="F107" s="70"/>
      <c r="G107" s="70"/>
    </row>
    <row r="108" spans="2:7" x14ac:dyDescent="0.3">
      <c r="B108" s="80"/>
      <c r="C108" s="70"/>
      <c r="D108" s="70"/>
      <c r="E108" s="80"/>
      <c r="F108" s="70"/>
      <c r="G108" s="70"/>
    </row>
    <row r="109" spans="2:7" x14ac:dyDescent="0.3">
      <c r="B109" s="80"/>
      <c r="C109" s="70"/>
      <c r="D109" s="70"/>
      <c r="E109" s="80"/>
      <c r="F109" s="70"/>
      <c r="G109" s="70"/>
    </row>
    <row r="110" spans="2:7" x14ac:dyDescent="0.3">
      <c r="B110" s="80"/>
      <c r="C110" s="70"/>
      <c r="D110" s="70"/>
      <c r="E110" s="80"/>
      <c r="F110" s="70"/>
      <c r="G110" s="70"/>
    </row>
    <row r="111" spans="2:7" x14ac:dyDescent="0.3">
      <c r="B111" s="80"/>
      <c r="C111" s="70"/>
      <c r="D111" s="70"/>
      <c r="E111" s="80"/>
      <c r="F111" s="70"/>
      <c r="G111" s="70"/>
    </row>
    <row r="112" spans="2:7" x14ac:dyDescent="0.3">
      <c r="B112" s="80"/>
      <c r="C112" s="70"/>
      <c r="D112" s="70"/>
      <c r="E112" s="80"/>
      <c r="F112" s="70"/>
      <c r="G112" s="70"/>
    </row>
    <row r="113" spans="2:7" x14ac:dyDescent="0.3">
      <c r="B113" s="80"/>
      <c r="C113" s="70"/>
      <c r="D113" s="70"/>
      <c r="E113" s="70"/>
      <c r="F113" s="70"/>
      <c r="G113" s="70"/>
    </row>
    <row r="114" spans="2:7" x14ac:dyDescent="0.3">
      <c r="B114" s="80"/>
      <c r="C114" s="70"/>
      <c r="D114" s="70"/>
      <c r="E114" s="70"/>
      <c r="F114" s="70"/>
      <c r="G114" s="70"/>
    </row>
    <row r="115" spans="2:7" x14ac:dyDescent="0.3">
      <c r="B115" s="80"/>
      <c r="C115" s="70"/>
      <c r="D115" s="70"/>
      <c r="E115" s="70"/>
      <c r="F115" s="70"/>
      <c r="G115" s="70"/>
    </row>
    <row r="116" spans="2:7" x14ac:dyDescent="0.3">
      <c r="B116" s="80"/>
      <c r="C116" s="70"/>
      <c r="D116" s="70"/>
      <c r="E116" s="70"/>
      <c r="F116" s="70"/>
      <c r="G116" s="70"/>
    </row>
    <row r="117" spans="2:7" x14ac:dyDescent="0.3">
      <c r="B117" s="80"/>
      <c r="C117" s="70"/>
      <c r="D117" s="70"/>
      <c r="E117" s="70"/>
      <c r="F117" s="70"/>
      <c r="G117" s="70"/>
    </row>
    <row r="118" spans="2:7" x14ac:dyDescent="0.3">
      <c r="B118" s="80"/>
      <c r="C118" s="70"/>
      <c r="D118" s="70"/>
      <c r="E118" s="70"/>
      <c r="F118" s="70"/>
      <c r="G118" s="70"/>
    </row>
    <row r="119" spans="2:7" x14ac:dyDescent="0.3">
      <c r="B119" s="80"/>
      <c r="C119" s="70"/>
      <c r="D119" s="70"/>
      <c r="E119" s="70"/>
      <c r="F119" s="70"/>
      <c r="G119" s="70"/>
    </row>
    <row r="120" spans="2:7" x14ac:dyDescent="0.3">
      <c r="B120" s="80"/>
      <c r="C120" s="70"/>
      <c r="D120" s="70"/>
      <c r="E120" s="70"/>
      <c r="F120" s="70"/>
      <c r="G120" s="70"/>
    </row>
    <row r="121" spans="2:7" x14ac:dyDescent="0.3">
      <c r="B121" s="80"/>
      <c r="C121" s="70"/>
      <c r="D121" s="70"/>
      <c r="E121" s="70"/>
      <c r="F121" s="70"/>
      <c r="G121" s="70"/>
    </row>
    <row r="122" spans="2:7" x14ac:dyDescent="0.3">
      <c r="B122" s="80"/>
      <c r="C122" s="70"/>
      <c r="D122" s="70"/>
      <c r="E122" s="70"/>
      <c r="F122" s="70"/>
      <c r="G122" s="70"/>
    </row>
    <row r="123" spans="2:7" x14ac:dyDescent="0.3">
      <c r="B123" s="80"/>
      <c r="C123" s="70"/>
      <c r="D123" s="70"/>
      <c r="E123" s="70"/>
      <c r="F123" s="70"/>
      <c r="G123" s="70"/>
    </row>
  </sheetData>
  <mergeCells count="41">
    <mergeCell ref="C39:D39"/>
    <mergeCell ref="C40:D40"/>
    <mergeCell ref="D43:G43"/>
    <mergeCell ref="A46:C46"/>
    <mergeCell ref="F52:G52"/>
    <mergeCell ref="C38:D38"/>
    <mergeCell ref="C27:D27"/>
    <mergeCell ref="C28:D28"/>
    <mergeCell ref="C29:D29"/>
    <mergeCell ref="C30:D30"/>
    <mergeCell ref="C31:D31"/>
    <mergeCell ref="C32:D32"/>
    <mergeCell ref="C33:D33"/>
    <mergeCell ref="C34:D34"/>
    <mergeCell ref="C35:D35"/>
    <mergeCell ref="C36:D36"/>
    <mergeCell ref="C37:D37"/>
    <mergeCell ref="C26:D26"/>
    <mergeCell ref="C15:D15"/>
    <mergeCell ref="C16:D16"/>
    <mergeCell ref="C17:D17"/>
    <mergeCell ref="C18:D18"/>
    <mergeCell ref="C19:D19"/>
    <mergeCell ref="C20:D20"/>
    <mergeCell ref="C21:D21"/>
    <mergeCell ref="C22:D22"/>
    <mergeCell ref="C23:D23"/>
    <mergeCell ref="C24:D24"/>
    <mergeCell ref="C25:D25"/>
    <mergeCell ref="D13:G13"/>
    <mergeCell ref="A4:C4"/>
    <mergeCell ref="D4:G4"/>
    <mergeCell ref="A5:C5"/>
    <mergeCell ref="D5:G5"/>
    <mergeCell ref="A6:E6"/>
    <mergeCell ref="C7:F7"/>
    <mergeCell ref="A8:G8"/>
    <mergeCell ref="C9:G9"/>
    <mergeCell ref="D10:G10"/>
    <mergeCell ref="F11:G11"/>
    <mergeCell ref="D12:H12"/>
  </mergeCells>
  <printOptions horizontalCentered="1" verticalCentered="1"/>
  <pageMargins left="0.5" right="0.25" top="0" bottom="0.25" header="0.3" footer="0.3"/>
  <pageSetup paperSize="9" scale="91" orientation="portrait" r:id="rId1"/>
  <rowBreaks count="1" manualBreakCount="1">
    <brk id="27"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46</xdr:row>
                <xdr:rowOff>123825</xdr:rowOff>
              </from>
              <to>
                <xdr:col>3</xdr:col>
                <xdr:colOff>1209675</xdr:colOff>
                <xdr:row>51</xdr:row>
                <xdr:rowOff>19050</xdr:rowOff>
              </to>
            </anchor>
          </objectPr>
        </oleObject>
      </mc:Choice>
      <mc:Fallback>
        <oleObject progId="PBrush" shapeId="44033"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1" tint="4.9989318521683403E-2"/>
  </sheetPr>
  <dimension ref="A3:O80"/>
  <sheetViews>
    <sheetView view="pageBreakPreview" topLeftCell="A37" zoomScaleNormal="100" zoomScaleSheetLayoutView="100" workbookViewId="0">
      <selection activeCell="E7" sqref="E7:J7"/>
    </sheetView>
  </sheetViews>
  <sheetFormatPr defaultColWidth="9.140625" defaultRowHeight="18.75" x14ac:dyDescent="0.3"/>
  <cols>
    <col min="1" max="1" width="13.85546875" style="22" customWidth="1"/>
    <col min="2" max="2" width="3" style="22" customWidth="1"/>
    <col min="3" max="3" width="5.28515625" style="22" customWidth="1"/>
    <col min="4" max="4" width="11.42578125" style="22" customWidth="1"/>
    <col min="5" max="5" width="9.140625" style="22" customWidth="1"/>
    <col min="6" max="6" width="9.7109375" style="22" customWidth="1"/>
    <col min="7" max="7" width="6.42578125" style="22" customWidth="1"/>
    <col min="8" max="8" width="7.28515625" style="22" customWidth="1"/>
    <col min="9" max="9" width="7.7109375" style="22" customWidth="1"/>
    <col min="10" max="10" width="18.85546875" style="22" customWidth="1"/>
    <col min="11" max="15" width="9.140625" style="1"/>
    <col min="16" max="16384" width="9.140625" style="22"/>
  </cols>
  <sheetData>
    <row r="3" spans="1:15" ht="11.25" customHeight="1" x14ac:dyDescent="0.3"/>
    <row r="4" spans="1:15" ht="17.25" x14ac:dyDescent="0.25">
      <c r="A4" s="170" t="s">
        <v>38</v>
      </c>
      <c r="B4" s="170"/>
      <c r="C4" s="170"/>
      <c r="D4" s="170"/>
      <c r="E4" s="141" t="s">
        <v>16</v>
      </c>
      <c r="F4" s="141"/>
      <c r="G4" s="141"/>
      <c r="H4" s="141"/>
      <c r="I4" s="141"/>
      <c r="J4" s="141"/>
      <c r="K4" s="11"/>
      <c r="L4" s="11"/>
      <c r="M4" s="11"/>
      <c r="N4" s="11"/>
      <c r="O4" s="11"/>
    </row>
    <row r="5" spans="1:15" ht="17.25" x14ac:dyDescent="0.25">
      <c r="A5" s="171" t="s">
        <v>39</v>
      </c>
      <c r="B5" s="171"/>
      <c r="C5" s="171"/>
      <c r="D5" s="171"/>
      <c r="E5" s="141" t="s">
        <v>147</v>
      </c>
      <c r="F5" s="141"/>
      <c r="G5" s="141"/>
      <c r="H5" s="141"/>
      <c r="I5" s="141"/>
      <c r="J5" s="141"/>
      <c r="K5" s="3"/>
      <c r="L5" s="3"/>
      <c r="M5" s="3"/>
      <c r="N5" s="3"/>
      <c r="O5" s="3"/>
    </row>
    <row r="6" spans="1:15" x14ac:dyDescent="0.3">
      <c r="A6" s="125"/>
      <c r="B6" s="125"/>
      <c r="C6" s="125"/>
      <c r="D6" s="125"/>
      <c r="K6" s="11"/>
      <c r="L6" s="11"/>
      <c r="M6" s="11"/>
      <c r="N6" s="11"/>
      <c r="O6" s="11"/>
    </row>
    <row r="7" spans="1:15" x14ac:dyDescent="0.3">
      <c r="A7" s="133"/>
      <c r="B7" s="133"/>
      <c r="C7" s="133"/>
      <c r="D7" s="133"/>
      <c r="E7" s="172" t="str">
        <f>"Quảng Ninh, ngày " &amp;LEFT(TTCHUNG!C15,2) &amp;" tháng " &amp; MID(TTCHUNG!C15,4,2) &amp;" năm 2026"</f>
        <v>Quảng Ninh, ngày  tháng  năm 2026</v>
      </c>
      <c r="F7" s="172"/>
      <c r="G7" s="172"/>
      <c r="H7" s="172"/>
      <c r="I7" s="172"/>
      <c r="J7" s="172"/>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43" t="s">
        <v>26</v>
      </c>
      <c r="B9" s="143"/>
      <c r="C9" s="143"/>
      <c r="D9" s="143"/>
      <c r="E9" s="143"/>
      <c r="F9" s="143"/>
      <c r="G9" s="143"/>
      <c r="H9" s="143"/>
      <c r="I9" s="143"/>
      <c r="J9" s="143"/>
      <c r="K9" s="11"/>
      <c r="L9" s="11"/>
      <c r="M9" s="11"/>
      <c r="N9" s="11"/>
      <c r="O9" s="11"/>
    </row>
    <row r="10" spans="1:15" ht="22.5" customHeight="1" x14ac:dyDescent="0.3">
      <c r="A10" s="20"/>
      <c r="B10" s="125" t="s">
        <v>63</v>
      </c>
      <c r="C10" s="125"/>
      <c r="D10" s="125"/>
      <c r="E10" s="125"/>
      <c r="F10" s="125"/>
      <c r="G10" s="125"/>
      <c r="H10" s="125"/>
      <c r="I10" s="125"/>
      <c r="J10" s="20"/>
      <c r="K10" s="11"/>
      <c r="L10" s="11"/>
      <c r="M10" s="11"/>
      <c r="N10" s="11"/>
      <c r="O10" s="11"/>
    </row>
    <row r="11" spans="1:15" x14ac:dyDescent="0.25">
      <c r="A11" s="42"/>
      <c r="B11" s="42"/>
      <c r="C11" s="42"/>
      <c r="D11" s="42"/>
      <c r="E11" s="42"/>
      <c r="F11" s="42"/>
      <c r="G11" s="42"/>
      <c r="H11" s="42"/>
      <c r="I11" s="42"/>
      <c r="J11" s="42"/>
      <c r="K11" s="11"/>
      <c r="L11" s="11"/>
      <c r="M11" s="11"/>
      <c r="N11" s="11"/>
      <c r="O11" s="11"/>
    </row>
    <row r="12" spans="1:15" x14ac:dyDescent="0.3">
      <c r="A12" s="133" t="s">
        <v>148</v>
      </c>
      <c r="B12" s="125"/>
      <c r="C12" s="125"/>
      <c r="D12" s="125"/>
      <c r="E12" s="21"/>
      <c r="F12" s="20"/>
      <c r="G12" s="20"/>
      <c r="H12" s="20"/>
      <c r="I12" s="20"/>
      <c r="J12" s="20"/>
      <c r="K12" s="11"/>
      <c r="L12" s="11"/>
      <c r="M12" s="11"/>
      <c r="N12" s="11"/>
      <c r="O12" s="11"/>
    </row>
    <row r="13" spans="1:15" x14ac:dyDescent="0.3">
      <c r="A13" s="133" t="s">
        <v>44</v>
      </c>
      <c r="B13" s="133"/>
      <c r="C13" s="24" t="s">
        <v>142</v>
      </c>
      <c r="F13" s="30" t="s">
        <v>13</v>
      </c>
      <c r="G13" s="24" t="s">
        <v>149</v>
      </c>
      <c r="H13" s="24"/>
      <c r="I13" s="24"/>
      <c r="J13" s="24"/>
      <c r="K13" s="11"/>
      <c r="L13" s="11"/>
      <c r="M13" s="11"/>
      <c r="N13" s="11"/>
      <c r="O13" s="11"/>
    </row>
    <row r="14" spans="1:15" ht="36.75" customHeight="1" x14ac:dyDescent="0.25">
      <c r="A14" s="130" t="s">
        <v>135</v>
      </c>
      <c r="B14" s="130"/>
      <c r="C14" s="130"/>
      <c r="D14" s="130"/>
      <c r="E14" s="130"/>
      <c r="F14" s="130"/>
      <c r="G14" s="130"/>
      <c r="H14" s="130"/>
      <c r="I14" s="130"/>
      <c r="J14" s="130"/>
      <c r="K14" s="11"/>
      <c r="L14" s="11"/>
      <c r="M14" s="11"/>
      <c r="N14" s="11"/>
      <c r="O14" s="11"/>
    </row>
    <row r="15" spans="1:15" x14ac:dyDescent="0.25">
      <c r="A15" s="130" t="s">
        <v>136</v>
      </c>
      <c r="B15" s="130"/>
      <c r="C15" s="130"/>
      <c r="D15" s="130"/>
      <c r="E15" s="130"/>
      <c r="F15" s="130"/>
      <c r="G15" s="130"/>
      <c r="H15" s="130"/>
      <c r="I15" s="130"/>
      <c r="J15" s="130"/>
      <c r="K15" s="11"/>
      <c r="L15" s="11"/>
      <c r="M15" s="11"/>
      <c r="N15" s="11"/>
      <c r="O15" s="11"/>
    </row>
    <row r="16" spans="1:15" ht="39" customHeight="1" x14ac:dyDescent="0.25">
      <c r="A16" s="173" t="str">
        <f>"          - Căn cứ Quyết định thi hành án phạt tù số "&amp;TTCHUNG!B21 &amp;" ngày "&amp;TTCHUNG!C21&amp;" của Tòa án nhân dân "&amp;TTCHUNG!D21&amp;";"</f>
        <v xml:space="preserve">          - Căn cứ Quyết định thi hành án phạt tù số  ngày  của Tòa án nhân dân ;</v>
      </c>
      <c r="B16" s="173"/>
      <c r="C16" s="173"/>
      <c r="D16" s="173"/>
      <c r="E16" s="173"/>
      <c r="F16" s="173"/>
      <c r="G16" s="173"/>
      <c r="H16" s="173"/>
      <c r="I16" s="173"/>
      <c r="J16" s="173"/>
      <c r="K16" s="11"/>
      <c r="L16" s="11"/>
      <c r="M16" s="11"/>
      <c r="N16" s="11"/>
      <c r="O16" s="11"/>
    </row>
    <row r="17" spans="1:15" x14ac:dyDescent="0.25">
      <c r="A17" s="130" t="s">
        <v>137</v>
      </c>
      <c r="B17" s="130"/>
      <c r="C17" s="130"/>
      <c r="D17" s="130"/>
      <c r="E17" s="130"/>
      <c r="F17" s="130"/>
      <c r="G17" s="130"/>
      <c r="H17" s="130"/>
      <c r="I17" s="130"/>
      <c r="J17" s="130"/>
      <c r="K17" s="11"/>
      <c r="L17" s="11"/>
      <c r="M17" s="11"/>
      <c r="N17" s="11"/>
      <c r="O17" s="11"/>
    </row>
    <row r="18" spans="1:15" ht="38.25" customHeight="1" x14ac:dyDescent="0.25">
      <c r="A18" s="143" t="s">
        <v>26</v>
      </c>
      <c r="B18" s="143"/>
      <c r="C18" s="143"/>
      <c r="D18" s="143"/>
      <c r="E18" s="143"/>
      <c r="F18" s="143"/>
      <c r="G18" s="143"/>
      <c r="H18" s="143"/>
      <c r="I18" s="143"/>
      <c r="J18" s="143"/>
      <c r="K18" s="11"/>
      <c r="L18" s="11"/>
      <c r="M18" s="11"/>
      <c r="N18" s="11"/>
      <c r="O18" s="11"/>
    </row>
    <row r="19" spans="1:15" x14ac:dyDescent="0.25">
      <c r="A19" s="43" t="s">
        <v>45</v>
      </c>
      <c r="B19" s="43"/>
      <c r="C19" s="43"/>
      <c r="D19" s="43"/>
      <c r="E19" s="43"/>
      <c r="F19" s="43" t="str">
        <f>TTCHUNG!C5</f>
        <v>Trần Văn Dương</v>
      </c>
      <c r="G19" s="43"/>
      <c r="H19" s="43"/>
      <c r="I19" s="43"/>
      <c r="J19" s="43"/>
      <c r="K19" s="11"/>
      <c r="L19" s="11"/>
      <c r="M19" s="11"/>
      <c r="N19" s="11"/>
      <c r="O19" s="11"/>
    </row>
    <row r="20" spans="1:15" x14ac:dyDescent="0.3">
      <c r="A20" s="133" t="s">
        <v>43</v>
      </c>
      <c r="B20" s="133"/>
      <c r="C20" s="24" t="s">
        <v>207</v>
      </c>
      <c r="E20" s="45" t="s">
        <v>13</v>
      </c>
      <c r="F20" s="38" t="str">
        <f>TTCHUNG!D27</f>
        <v>Cán bộ</v>
      </c>
      <c r="H20" s="45" t="s">
        <v>40</v>
      </c>
      <c r="I20" s="88" t="s">
        <v>150</v>
      </c>
      <c r="J20" s="43"/>
      <c r="K20" s="11"/>
      <c r="L20" s="11"/>
      <c r="M20" s="11"/>
      <c r="N20" s="11"/>
      <c r="O20" s="11"/>
    </row>
    <row r="21" spans="1:15" x14ac:dyDescent="0.3">
      <c r="A21" s="30" t="s">
        <v>41</v>
      </c>
      <c r="B21" s="21" t="s">
        <v>144</v>
      </c>
      <c r="C21" s="44"/>
      <c r="E21" s="45"/>
      <c r="F21" s="38"/>
      <c r="H21" s="45"/>
      <c r="I21" s="38"/>
      <c r="J21" s="43"/>
      <c r="K21" s="11"/>
      <c r="L21" s="11"/>
      <c r="M21" s="11"/>
      <c r="N21" s="11"/>
      <c r="O21" s="11"/>
    </row>
    <row r="22" spans="1:15" x14ac:dyDescent="0.3">
      <c r="A22" s="133" t="s">
        <v>19</v>
      </c>
      <c r="B22" s="133"/>
      <c r="C22" s="133"/>
      <c r="D22" s="21">
        <f>TTCHUNG!C7</f>
        <v>0</v>
      </c>
      <c r="G22" s="24"/>
      <c r="H22" s="132" t="s">
        <v>21</v>
      </c>
      <c r="I22" s="132"/>
      <c r="J22" s="75" t="str">
        <f>TTCHUNG!C9</f>
        <v/>
      </c>
    </row>
    <row r="23" spans="1:15" x14ac:dyDescent="0.3">
      <c r="A23" s="133" t="s">
        <v>42</v>
      </c>
      <c r="B23" s="133"/>
      <c r="C23" s="133"/>
      <c r="D23" s="24">
        <f>TTCHUNG!C11</f>
        <v>0</v>
      </c>
      <c r="E23" s="24"/>
      <c r="F23" s="24"/>
      <c r="G23" s="24"/>
      <c r="H23" s="24"/>
      <c r="I23" s="24"/>
      <c r="J23" s="24"/>
    </row>
    <row r="24" spans="1:15" ht="19.5" x14ac:dyDescent="0.35">
      <c r="A24" s="46" t="s">
        <v>48</v>
      </c>
      <c r="B24" s="24"/>
      <c r="C24" s="24"/>
      <c r="D24" s="32">
        <f>TTCHUNG!C13</f>
        <v>0</v>
      </c>
      <c r="F24" s="24"/>
      <c r="G24" s="24"/>
      <c r="H24" s="24"/>
      <c r="I24" s="24"/>
      <c r="J24" s="24"/>
      <c r="K24" s="11"/>
      <c r="L24" s="11"/>
      <c r="M24" s="11"/>
      <c r="N24" s="11"/>
      <c r="O24" s="11"/>
    </row>
    <row r="25" spans="1:15" ht="19.5" customHeight="1" x14ac:dyDescent="0.3">
      <c r="A25" s="132" t="s">
        <v>64</v>
      </c>
      <c r="B25" s="132"/>
      <c r="C25" s="134" t="str">
        <f>TTCHUNG!C14</f>
        <v/>
      </c>
      <c r="D25" s="154"/>
      <c r="E25" s="154"/>
      <c r="F25" s="24"/>
      <c r="G25" s="24"/>
      <c r="H25" s="30"/>
      <c r="I25" s="30"/>
      <c r="J25" s="24"/>
      <c r="K25" s="11"/>
      <c r="L25" s="11"/>
      <c r="M25" s="11"/>
      <c r="N25" s="11"/>
      <c r="O25" s="11"/>
    </row>
    <row r="26" spans="1:15" x14ac:dyDescent="0.25">
      <c r="A26" s="43" t="s">
        <v>46</v>
      </c>
      <c r="B26" s="38"/>
      <c r="C26" s="38"/>
      <c r="D26" s="38"/>
      <c r="E26" s="174" t="str">
        <f>F19</f>
        <v>Trần Văn Dương</v>
      </c>
      <c r="F26" s="174"/>
      <c r="G26" s="38" t="s">
        <v>47</v>
      </c>
      <c r="H26" s="38"/>
      <c r="I26" s="38"/>
      <c r="J26" s="38"/>
      <c r="K26" s="11"/>
      <c r="L26" s="11"/>
      <c r="M26" s="11"/>
      <c r="N26" s="11"/>
      <c r="O26" s="11"/>
    </row>
    <row r="27" spans="1:15" s="47" customFormat="1" x14ac:dyDescent="0.3">
      <c r="A27" s="24" t="s">
        <v>50</v>
      </c>
      <c r="K27" s="11"/>
      <c r="L27" s="11"/>
      <c r="M27" s="11"/>
      <c r="N27" s="11"/>
      <c r="O27" s="11"/>
    </row>
    <row r="28" spans="1:15" s="47" customFormat="1" x14ac:dyDescent="0.3">
      <c r="A28" s="24"/>
      <c r="K28" s="11"/>
      <c r="L28" s="11"/>
      <c r="M28" s="11"/>
      <c r="N28" s="11"/>
      <c r="O28" s="11"/>
    </row>
    <row r="29" spans="1:15" x14ac:dyDescent="0.3">
      <c r="A29" s="131"/>
      <c r="B29" s="131"/>
      <c r="C29" s="131"/>
      <c r="D29" s="131"/>
      <c r="E29" s="131"/>
      <c r="F29" s="124" t="s">
        <v>49</v>
      </c>
      <c r="G29" s="124"/>
      <c r="H29" s="124"/>
      <c r="I29" s="124"/>
      <c r="J29" s="124"/>
    </row>
    <row r="30" spans="1:15" ht="18.75" customHeight="1" x14ac:dyDescent="0.3">
      <c r="A30" s="147"/>
      <c r="B30" s="147"/>
      <c r="C30" s="147"/>
      <c r="D30" s="147"/>
      <c r="E30" s="147"/>
      <c r="F30" s="147" t="s">
        <v>139</v>
      </c>
      <c r="G30" s="147"/>
      <c r="H30" s="147"/>
      <c r="I30" s="147"/>
      <c r="J30" s="147"/>
    </row>
    <row r="31" spans="1:15" x14ac:dyDescent="0.3">
      <c r="H31" s="26"/>
    </row>
    <row r="32" spans="1:15" x14ac:dyDescent="0.3">
      <c r="A32" s="23"/>
      <c r="H32" s="27"/>
    </row>
    <row r="33" spans="1:15" x14ac:dyDescent="0.3">
      <c r="A33" s="23"/>
      <c r="H33" s="27"/>
    </row>
    <row r="34" spans="1:15" x14ac:dyDescent="0.3">
      <c r="H34" s="27"/>
    </row>
    <row r="35" spans="1:15" x14ac:dyDescent="0.3">
      <c r="H35" s="25"/>
    </row>
    <row r="36" spans="1:15" x14ac:dyDescent="0.3">
      <c r="A36" s="28"/>
      <c r="F36" s="125" t="s">
        <v>153</v>
      </c>
      <c r="G36" s="125"/>
      <c r="H36" s="125"/>
      <c r="I36" s="125"/>
      <c r="J36" s="125"/>
    </row>
    <row r="37" spans="1:15" x14ac:dyDescent="0.3">
      <c r="A37" s="28"/>
    </row>
    <row r="41" spans="1:15" ht="13.5" customHeight="1" x14ac:dyDescent="0.3"/>
    <row r="44" spans="1:15" s="48" customFormat="1" x14ac:dyDescent="0.3">
      <c r="A44" s="37"/>
      <c r="K44" s="1"/>
      <c r="L44" s="1"/>
      <c r="M44" s="1"/>
      <c r="N44" s="1"/>
      <c r="O44" s="1"/>
    </row>
    <row r="45" spans="1:15" s="48" customFormat="1" x14ac:dyDescent="0.3">
      <c r="A45" s="37"/>
      <c r="K45" s="1"/>
      <c r="L45" s="1"/>
      <c r="M45" s="1"/>
      <c r="N45" s="1"/>
      <c r="O45" s="1"/>
    </row>
    <row r="46" spans="1:15" ht="18.75" customHeight="1" x14ac:dyDescent="0.3">
      <c r="A46" s="124" t="s">
        <v>51</v>
      </c>
      <c r="B46" s="124"/>
      <c r="C46" s="124"/>
      <c r="D46" s="124"/>
      <c r="E46" s="124"/>
      <c r="F46" s="124"/>
      <c r="G46" s="124"/>
      <c r="H46" s="124"/>
      <c r="I46" s="124"/>
      <c r="J46" s="124"/>
    </row>
    <row r="48" spans="1:15" x14ac:dyDescent="0.3">
      <c r="A48" s="125" t="s">
        <v>206</v>
      </c>
      <c r="B48" s="125"/>
      <c r="C48" s="125"/>
      <c r="D48" s="125"/>
      <c r="E48" s="125"/>
      <c r="F48" s="40" t="s">
        <v>12</v>
      </c>
      <c r="G48" s="154" t="s">
        <v>207</v>
      </c>
      <c r="H48" s="154"/>
      <c r="I48" s="20"/>
      <c r="J48" s="20"/>
    </row>
    <row r="49" spans="1:6" x14ac:dyDescent="0.3">
      <c r="A49" s="133" t="s">
        <v>52</v>
      </c>
      <c r="B49" s="133"/>
      <c r="C49" s="133"/>
      <c r="D49" s="24" t="s">
        <v>14</v>
      </c>
    </row>
    <row r="50" spans="1:6" x14ac:dyDescent="0.3">
      <c r="A50" s="133" t="s">
        <v>53</v>
      </c>
      <c r="B50" s="133"/>
      <c r="C50" s="133"/>
      <c r="D50" s="24" t="s">
        <v>154</v>
      </c>
    </row>
    <row r="51" spans="1:6" x14ac:dyDescent="0.3">
      <c r="A51" s="133" t="s">
        <v>138</v>
      </c>
      <c r="B51" s="133"/>
      <c r="C51" s="133"/>
      <c r="D51" s="133"/>
      <c r="E51" s="24" t="s">
        <v>55</v>
      </c>
    </row>
    <row r="52" spans="1:6" x14ac:dyDescent="0.3">
      <c r="A52" s="24" t="s">
        <v>54</v>
      </c>
      <c r="B52" s="24"/>
      <c r="C52" s="24"/>
      <c r="D52" s="24"/>
      <c r="E52" s="24"/>
    </row>
    <row r="53" spans="1:6" x14ac:dyDescent="0.3">
      <c r="A53" s="24" t="s">
        <v>56</v>
      </c>
    </row>
    <row r="54" spans="1:6" x14ac:dyDescent="0.3">
      <c r="A54" s="21" t="s">
        <v>57</v>
      </c>
      <c r="E54" s="50" t="str">
        <f>TTCHUNG!C4</f>
        <v>1810GP1025/225CO</v>
      </c>
    </row>
    <row r="55" spans="1:6" x14ac:dyDescent="0.3">
      <c r="A55" s="24" t="s">
        <v>58</v>
      </c>
    </row>
    <row r="56" spans="1:6" x14ac:dyDescent="0.3">
      <c r="A56" s="24" t="s">
        <v>60</v>
      </c>
    </row>
    <row r="57" spans="1:6" x14ac:dyDescent="0.3">
      <c r="A57" s="24" t="s">
        <v>59</v>
      </c>
      <c r="B57" s="51"/>
      <c r="F57" s="49"/>
    </row>
    <row r="58" spans="1:6" ht="21.95" customHeight="1" x14ac:dyDescent="0.3">
      <c r="A58" s="4" t="s">
        <v>61</v>
      </c>
    </row>
    <row r="59" spans="1:6" ht="21.95" customHeight="1" x14ac:dyDescent="0.3">
      <c r="A59" s="4" t="s">
        <v>61</v>
      </c>
    </row>
    <row r="60" spans="1:6" ht="21.95" customHeight="1" x14ac:dyDescent="0.3">
      <c r="A60" s="4" t="s">
        <v>61</v>
      </c>
    </row>
    <row r="61" spans="1:6" ht="21.95" customHeight="1" x14ac:dyDescent="0.3">
      <c r="A61" s="4" t="s">
        <v>61</v>
      </c>
    </row>
    <row r="62" spans="1:6" ht="21.95" customHeight="1" x14ac:dyDescent="0.3">
      <c r="A62" s="4" t="s">
        <v>61</v>
      </c>
    </row>
    <row r="63" spans="1:6" ht="21.95" customHeight="1" x14ac:dyDescent="0.3">
      <c r="A63" s="4" t="s">
        <v>61</v>
      </c>
    </row>
    <row r="64" spans="1:6" ht="21.95" customHeight="1" x14ac:dyDescent="0.3">
      <c r="A64" s="4" t="s">
        <v>61</v>
      </c>
    </row>
    <row r="65" spans="1:15" ht="21.95" customHeight="1" x14ac:dyDescent="0.3">
      <c r="A65" s="4" t="s">
        <v>61</v>
      </c>
    </row>
    <row r="66" spans="1:15" ht="21.95" customHeight="1" x14ac:dyDescent="0.3">
      <c r="A66" s="4" t="s">
        <v>61</v>
      </c>
    </row>
    <row r="67" spans="1:15" ht="21.95" customHeight="1" x14ac:dyDescent="0.3">
      <c r="A67" s="4" t="s">
        <v>61</v>
      </c>
    </row>
    <row r="68" spans="1:15" ht="21.95" customHeight="1" x14ac:dyDescent="0.3">
      <c r="A68" s="4" t="s">
        <v>61</v>
      </c>
    </row>
    <row r="69" spans="1:15" ht="21.95" customHeight="1" x14ac:dyDescent="0.3">
      <c r="A69" s="4" t="s">
        <v>61</v>
      </c>
    </row>
    <row r="70" spans="1:15" ht="21.95" customHeight="1" x14ac:dyDescent="0.3">
      <c r="A70" s="4" t="s">
        <v>61</v>
      </c>
    </row>
    <row r="72" spans="1:15" s="21" customFormat="1" x14ac:dyDescent="0.3">
      <c r="A72" s="125" t="s">
        <v>140</v>
      </c>
      <c r="B72" s="125"/>
      <c r="C72" s="125"/>
      <c r="D72" s="125"/>
      <c r="E72" s="125"/>
      <c r="F72" s="125" t="s">
        <v>62</v>
      </c>
      <c r="G72" s="125"/>
      <c r="H72" s="125"/>
      <c r="I72" s="125"/>
      <c r="J72" s="125"/>
      <c r="K72" s="1"/>
      <c r="L72" s="1"/>
      <c r="M72" s="1"/>
      <c r="N72" s="1"/>
      <c r="O72" s="1"/>
    </row>
    <row r="73" spans="1:15" s="52" customFormat="1" x14ac:dyDescent="0.3">
      <c r="A73" s="147" t="s">
        <v>139</v>
      </c>
      <c r="B73" s="147"/>
      <c r="C73" s="147"/>
      <c r="D73" s="147"/>
      <c r="E73" s="147"/>
      <c r="F73" s="175" t="s">
        <v>24</v>
      </c>
      <c r="G73" s="175"/>
      <c r="H73" s="175"/>
      <c r="I73" s="175"/>
      <c r="J73" s="175"/>
      <c r="K73" s="1"/>
      <c r="L73" s="1"/>
      <c r="M73" s="1"/>
      <c r="N73" s="1"/>
      <c r="O73" s="1"/>
    </row>
    <row r="74" spans="1:15" s="21" customFormat="1" x14ac:dyDescent="0.3">
      <c r="K74" s="1"/>
      <c r="L74" s="1"/>
      <c r="M74" s="1"/>
      <c r="N74" s="1"/>
      <c r="O74" s="1"/>
    </row>
    <row r="75" spans="1:15" s="21" customFormat="1" x14ac:dyDescent="0.3">
      <c r="K75" s="1"/>
      <c r="L75" s="1"/>
      <c r="M75" s="1"/>
      <c r="N75" s="1"/>
      <c r="O75" s="1"/>
    </row>
    <row r="76" spans="1:15" s="21" customFormat="1" x14ac:dyDescent="0.3">
      <c r="K76" s="1"/>
      <c r="L76" s="1"/>
      <c r="M76" s="1"/>
      <c r="N76" s="1"/>
      <c r="O76" s="1"/>
    </row>
    <row r="77" spans="1:15" s="21" customFormat="1" x14ac:dyDescent="0.3">
      <c r="K77" s="1"/>
      <c r="L77" s="1"/>
      <c r="M77" s="1"/>
      <c r="N77" s="1"/>
      <c r="O77" s="1"/>
    </row>
    <row r="78" spans="1:15" s="21" customFormat="1" x14ac:dyDescent="0.3">
      <c r="K78" s="1"/>
      <c r="L78" s="1"/>
      <c r="M78" s="1"/>
      <c r="N78" s="1"/>
      <c r="O78" s="1"/>
    </row>
    <row r="79" spans="1:15" s="21" customFormat="1" x14ac:dyDescent="0.3">
      <c r="F79" s="143" t="str">
        <f>"Đại úy "&amp;TTCHUNG!C5</f>
        <v>Đại úy Trần Văn Dương</v>
      </c>
      <c r="G79" s="143"/>
      <c r="H79" s="143"/>
      <c r="I79" s="143"/>
      <c r="J79" s="143"/>
      <c r="K79" s="1"/>
      <c r="L79" s="1"/>
      <c r="M79" s="1"/>
      <c r="N79" s="1"/>
      <c r="O79" s="1"/>
    </row>
    <row r="80" spans="1:15" s="21" customFormat="1" x14ac:dyDescent="0.3">
      <c r="K80" s="1"/>
      <c r="L80" s="1"/>
      <c r="M80" s="1"/>
      <c r="N80" s="1"/>
      <c r="O80" s="1"/>
    </row>
  </sheetData>
  <mergeCells count="39">
    <mergeCell ref="A73:E73"/>
    <mergeCell ref="F73:J73"/>
    <mergeCell ref="G48:H48"/>
    <mergeCell ref="A50:C50"/>
    <mergeCell ref="A51:D51"/>
    <mergeCell ref="A72:E72"/>
    <mergeCell ref="F72:J72"/>
    <mergeCell ref="A18:J18"/>
    <mergeCell ref="A20:B20"/>
    <mergeCell ref="A22:C22"/>
    <mergeCell ref="H22:I22"/>
    <mergeCell ref="A49:C49"/>
    <mergeCell ref="A23:C23"/>
    <mergeCell ref="A25:B25"/>
    <mergeCell ref="C25:E25"/>
    <mergeCell ref="E26:F26"/>
    <mergeCell ref="A29:E29"/>
    <mergeCell ref="F29:J29"/>
    <mergeCell ref="F36:J36"/>
    <mergeCell ref="A30:E30"/>
    <mergeCell ref="F30:J30"/>
    <mergeCell ref="A46:J46"/>
    <mergeCell ref="A48:E48"/>
    <mergeCell ref="F79:J79"/>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s>
  <printOptions horizontalCentered="1" verticalCentered="1"/>
  <pageMargins left="0.7"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1" tint="4.9989318521683403E-2"/>
  </sheetPr>
  <dimension ref="A3:O80"/>
  <sheetViews>
    <sheetView tabSelected="1" view="pageBreakPreview" zoomScaleNormal="100" zoomScaleSheetLayoutView="100" workbookViewId="0">
      <selection activeCell="J12" sqref="J12"/>
    </sheetView>
  </sheetViews>
  <sheetFormatPr defaultColWidth="9.140625" defaultRowHeight="18.75" x14ac:dyDescent="0.3"/>
  <cols>
    <col min="1" max="1" width="13.85546875" style="22" customWidth="1"/>
    <col min="2" max="2" width="3" style="22" customWidth="1"/>
    <col min="3" max="3" width="5.28515625" style="22" customWidth="1"/>
    <col min="4" max="4" width="11.42578125" style="22" customWidth="1"/>
    <col min="5" max="5" width="9.140625" style="22" customWidth="1"/>
    <col min="6" max="6" width="9.7109375" style="22" customWidth="1"/>
    <col min="7" max="7" width="6.42578125" style="22" customWidth="1"/>
    <col min="8" max="8" width="7.28515625" style="22" customWidth="1"/>
    <col min="9" max="9" width="7.7109375" style="22" customWidth="1"/>
    <col min="10" max="10" width="18.85546875" style="22" customWidth="1"/>
    <col min="11" max="15" width="9.140625" style="1"/>
    <col min="16" max="16384" width="9.140625" style="22"/>
  </cols>
  <sheetData>
    <row r="3" spans="1:15" ht="11.25" customHeight="1" x14ac:dyDescent="0.3"/>
    <row r="4" spans="1:15" ht="17.25" x14ac:dyDescent="0.25">
      <c r="A4" s="170" t="s">
        <v>38</v>
      </c>
      <c r="B4" s="170"/>
      <c r="C4" s="170"/>
      <c r="D4" s="170"/>
      <c r="E4" s="141" t="s">
        <v>16</v>
      </c>
      <c r="F4" s="141"/>
      <c r="G4" s="141"/>
      <c r="H4" s="141"/>
      <c r="I4" s="141"/>
      <c r="J4" s="141"/>
      <c r="K4" s="11"/>
      <c r="L4" s="11"/>
      <c r="M4" s="11"/>
      <c r="N4" s="11"/>
      <c r="O4" s="11"/>
    </row>
    <row r="5" spans="1:15" ht="17.25" x14ac:dyDescent="0.25">
      <c r="A5" s="171" t="s">
        <v>39</v>
      </c>
      <c r="B5" s="171"/>
      <c r="C5" s="171"/>
      <c r="D5" s="171"/>
      <c r="E5" s="141" t="s">
        <v>147</v>
      </c>
      <c r="F5" s="141"/>
      <c r="G5" s="141"/>
      <c r="H5" s="141"/>
      <c r="I5" s="141"/>
      <c r="J5" s="141"/>
      <c r="K5" s="3"/>
      <c r="L5" s="3"/>
      <c r="M5" s="3"/>
      <c r="N5" s="3"/>
      <c r="O5" s="3"/>
    </row>
    <row r="6" spans="1:15" x14ac:dyDescent="0.3">
      <c r="A6" s="125"/>
      <c r="B6" s="125"/>
      <c r="C6" s="125"/>
      <c r="D6" s="125"/>
      <c r="K6" s="11"/>
      <c r="L6" s="11"/>
      <c r="M6" s="11"/>
      <c r="N6" s="11"/>
      <c r="O6" s="11"/>
    </row>
    <row r="7" spans="1:15" x14ac:dyDescent="0.3">
      <c r="A7" s="133"/>
      <c r="B7" s="133"/>
      <c r="C7" s="133"/>
      <c r="D7" s="133"/>
      <c r="E7" s="142" t="s">
        <v>224</v>
      </c>
      <c r="F7" s="142"/>
      <c r="G7" s="142"/>
      <c r="H7" s="142"/>
      <c r="I7" s="142"/>
      <c r="J7" s="142"/>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43" t="s">
        <v>26</v>
      </c>
      <c r="B9" s="143"/>
      <c r="C9" s="143"/>
      <c r="D9" s="143"/>
      <c r="E9" s="143"/>
      <c r="F9" s="143"/>
      <c r="G9" s="143"/>
      <c r="H9" s="143"/>
      <c r="I9" s="143"/>
      <c r="J9" s="143"/>
      <c r="K9" s="11"/>
      <c r="L9" s="11"/>
      <c r="M9" s="11"/>
      <c r="N9" s="11"/>
      <c r="O9" s="11"/>
    </row>
    <row r="10" spans="1:15" ht="22.5" customHeight="1" x14ac:dyDescent="0.3">
      <c r="A10" s="20"/>
      <c r="B10" s="125" t="s">
        <v>155</v>
      </c>
      <c r="C10" s="125"/>
      <c r="D10" s="125"/>
      <c r="E10" s="125"/>
      <c r="F10" s="125"/>
      <c r="G10" s="125"/>
      <c r="H10" s="125"/>
      <c r="I10" s="125"/>
      <c r="J10" s="20"/>
      <c r="K10" s="11"/>
      <c r="L10" s="11"/>
      <c r="M10" s="11"/>
      <c r="N10" s="11"/>
      <c r="O10" s="11"/>
    </row>
    <row r="11" spans="1:15" x14ac:dyDescent="0.25">
      <c r="A11" s="42"/>
      <c r="B11" s="42"/>
      <c r="C11" s="42"/>
      <c r="D11" s="42"/>
      <c r="E11" s="42"/>
      <c r="F11" s="42"/>
      <c r="G11" s="42"/>
      <c r="H11" s="42"/>
      <c r="I11" s="42"/>
      <c r="J11" s="42"/>
      <c r="K11" s="11"/>
      <c r="L11" s="11"/>
      <c r="M11" s="11"/>
      <c r="N11" s="11"/>
      <c r="O11" s="11"/>
    </row>
    <row r="12" spans="1:15" x14ac:dyDescent="0.3">
      <c r="A12" s="133" t="s">
        <v>148</v>
      </c>
      <c r="B12" s="125"/>
      <c r="C12" s="125"/>
      <c r="D12" s="125"/>
      <c r="E12" s="21"/>
      <c r="F12" s="20"/>
      <c r="G12" s="20"/>
      <c r="H12" s="20"/>
      <c r="I12" s="20"/>
      <c r="J12" s="20"/>
      <c r="K12" s="11"/>
      <c r="L12" s="11"/>
      <c r="M12" s="11"/>
      <c r="N12" s="11"/>
      <c r="O12" s="11"/>
    </row>
    <row r="13" spans="1:15" x14ac:dyDescent="0.3">
      <c r="A13" s="133" t="s">
        <v>44</v>
      </c>
      <c r="B13" s="133"/>
      <c r="C13" s="24" t="s">
        <v>142</v>
      </c>
      <c r="F13" s="30" t="s">
        <v>13</v>
      </c>
      <c r="G13" s="24" t="s">
        <v>149</v>
      </c>
      <c r="H13" s="24"/>
      <c r="I13" s="24"/>
      <c r="J13" s="24"/>
      <c r="K13" s="11"/>
      <c r="L13" s="11"/>
      <c r="M13" s="11"/>
      <c r="N13" s="11"/>
      <c r="O13" s="11"/>
    </row>
    <row r="14" spans="1:15" ht="36.75" customHeight="1" x14ac:dyDescent="0.25">
      <c r="A14" s="130" t="s">
        <v>135</v>
      </c>
      <c r="B14" s="130"/>
      <c r="C14" s="130"/>
      <c r="D14" s="130"/>
      <c r="E14" s="130"/>
      <c r="F14" s="130"/>
      <c r="G14" s="130"/>
      <c r="H14" s="130"/>
      <c r="I14" s="130"/>
      <c r="J14" s="130"/>
      <c r="K14" s="11"/>
      <c r="L14" s="11"/>
      <c r="M14" s="11"/>
      <c r="N14" s="11"/>
      <c r="O14" s="11"/>
    </row>
    <row r="15" spans="1:15" x14ac:dyDescent="0.25">
      <c r="A15" s="130" t="s">
        <v>136</v>
      </c>
      <c r="B15" s="130"/>
      <c r="C15" s="130"/>
      <c r="D15" s="130"/>
      <c r="E15" s="130"/>
      <c r="F15" s="130"/>
      <c r="G15" s="130"/>
      <c r="H15" s="130"/>
      <c r="I15" s="130"/>
      <c r="J15" s="130"/>
      <c r="K15" s="11"/>
      <c r="L15" s="11"/>
      <c r="M15" s="11"/>
      <c r="N15" s="11"/>
      <c r="O15" s="11"/>
    </row>
    <row r="16" spans="1:15" ht="39" customHeight="1" x14ac:dyDescent="0.25">
      <c r="A16" s="173" t="s">
        <v>223</v>
      </c>
      <c r="B16" s="173"/>
      <c r="C16" s="173"/>
      <c r="D16" s="173"/>
      <c r="E16" s="173"/>
      <c r="F16" s="173"/>
      <c r="G16" s="173"/>
      <c r="H16" s="173"/>
      <c r="I16" s="173"/>
      <c r="J16" s="173"/>
      <c r="K16" s="11"/>
      <c r="L16" s="11"/>
      <c r="M16" s="11"/>
      <c r="N16" s="11"/>
      <c r="O16" s="11"/>
    </row>
    <row r="17" spans="1:15" x14ac:dyDescent="0.25">
      <c r="A17" s="130" t="s">
        <v>137</v>
      </c>
      <c r="B17" s="130"/>
      <c r="C17" s="130"/>
      <c r="D17" s="130"/>
      <c r="E17" s="130"/>
      <c r="F17" s="130"/>
      <c r="G17" s="130"/>
      <c r="H17" s="130"/>
      <c r="I17" s="130"/>
      <c r="J17" s="130"/>
      <c r="K17" s="11"/>
      <c r="L17" s="11"/>
      <c r="M17" s="11"/>
      <c r="N17" s="11"/>
      <c r="O17" s="11"/>
    </row>
    <row r="18" spans="1:15" ht="38.25" customHeight="1" x14ac:dyDescent="0.25">
      <c r="A18" s="143" t="s">
        <v>26</v>
      </c>
      <c r="B18" s="143"/>
      <c r="C18" s="143"/>
      <c r="D18" s="143"/>
      <c r="E18" s="143"/>
      <c r="F18" s="143"/>
      <c r="G18" s="143"/>
      <c r="H18" s="143"/>
      <c r="I18" s="143"/>
      <c r="J18" s="143"/>
      <c r="K18" s="11"/>
      <c r="L18" s="11"/>
      <c r="M18" s="11"/>
      <c r="N18" s="11"/>
      <c r="O18" s="11"/>
    </row>
    <row r="19" spans="1:15" x14ac:dyDescent="0.25">
      <c r="A19" s="43" t="s">
        <v>45</v>
      </c>
      <c r="B19" s="43"/>
      <c r="C19" s="43"/>
      <c r="D19" s="43"/>
      <c r="E19" s="43"/>
      <c r="F19" s="43" t="str">
        <f>TTCHUNG!C5</f>
        <v>Trần Văn Dương</v>
      </c>
      <c r="G19" s="43"/>
      <c r="H19" s="43"/>
      <c r="I19" s="43"/>
      <c r="J19" s="43"/>
      <c r="K19" s="11"/>
      <c r="L19" s="11"/>
      <c r="M19" s="11"/>
      <c r="N19" s="11"/>
      <c r="O19" s="11"/>
    </row>
    <row r="20" spans="1:15" x14ac:dyDescent="0.3">
      <c r="A20" s="133" t="s">
        <v>43</v>
      </c>
      <c r="B20" s="133"/>
      <c r="C20" s="24" t="s">
        <v>207</v>
      </c>
      <c r="E20" s="45" t="s">
        <v>13</v>
      </c>
      <c r="F20" s="38" t="str">
        <f>TTCHUNG!D27</f>
        <v>Cán bộ</v>
      </c>
      <c r="H20" s="45" t="s">
        <v>40</v>
      </c>
      <c r="I20" s="88" t="s">
        <v>150</v>
      </c>
      <c r="J20" s="43"/>
      <c r="K20" s="11"/>
      <c r="L20" s="11"/>
      <c r="M20" s="11"/>
      <c r="N20" s="11"/>
      <c r="O20" s="11"/>
    </row>
    <row r="21" spans="1:15" x14ac:dyDescent="0.3">
      <c r="A21" s="30" t="s">
        <v>41</v>
      </c>
      <c r="B21" s="21" t="s">
        <v>145</v>
      </c>
      <c r="C21" s="44"/>
      <c r="E21" s="45"/>
      <c r="F21" s="38"/>
      <c r="H21" s="45"/>
      <c r="I21" s="38"/>
      <c r="J21" s="43"/>
      <c r="K21" s="11"/>
      <c r="L21" s="11"/>
      <c r="M21" s="11"/>
      <c r="N21" s="11"/>
      <c r="O21" s="11"/>
    </row>
    <row r="22" spans="1:15" x14ac:dyDescent="0.3">
      <c r="A22" s="133" t="s">
        <v>19</v>
      </c>
      <c r="B22" s="133"/>
      <c r="C22" s="133"/>
      <c r="D22" s="21">
        <f>TTCHUNG!C7</f>
        <v>0</v>
      </c>
      <c r="G22" s="24"/>
      <c r="H22" s="132" t="s">
        <v>21</v>
      </c>
      <c r="I22" s="132"/>
      <c r="J22" s="75" t="str">
        <f>TTCHUNG!C9</f>
        <v/>
      </c>
    </row>
    <row r="23" spans="1:15" x14ac:dyDescent="0.3">
      <c r="A23" s="133" t="s">
        <v>42</v>
      </c>
      <c r="B23" s="133"/>
      <c r="C23" s="133"/>
      <c r="D23" s="24">
        <f>TTCHUNG!C11</f>
        <v>0</v>
      </c>
      <c r="E23" s="24"/>
      <c r="F23" s="24"/>
      <c r="G23" s="24"/>
      <c r="H23" s="24"/>
      <c r="I23" s="24"/>
      <c r="J23" s="24"/>
    </row>
    <row r="24" spans="1:15" ht="19.5" x14ac:dyDescent="0.35">
      <c r="A24" s="46" t="s">
        <v>48</v>
      </c>
      <c r="B24" s="24"/>
      <c r="C24" s="24"/>
      <c r="D24" s="32">
        <f>TTCHUNG!C13</f>
        <v>0</v>
      </c>
      <c r="F24" s="24"/>
      <c r="G24" s="24"/>
      <c r="H24" s="24"/>
      <c r="I24" s="24"/>
      <c r="J24" s="24"/>
      <c r="K24" s="11"/>
      <c r="L24" s="11"/>
      <c r="M24" s="11"/>
      <c r="N24" s="11"/>
      <c r="O24" s="11"/>
    </row>
    <row r="25" spans="1:15" ht="19.5" customHeight="1" x14ac:dyDescent="0.3">
      <c r="A25" s="132" t="s">
        <v>64</v>
      </c>
      <c r="B25" s="132"/>
      <c r="C25" s="134" t="str">
        <f>TTCHUNG!C14</f>
        <v/>
      </c>
      <c r="D25" s="154"/>
      <c r="E25" s="154"/>
      <c r="F25" s="24"/>
      <c r="G25" s="24"/>
      <c r="H25" s="30"/>
      <c r="I25" s="30"/>
      <c r="J25" s="24"/>
      <c r="K25" s="11"/>
      <c r="L25" s="11"/>
      <c r="M25" s="11"/>
      <c r="N25" s="11"/>
      <c r="O25" s="11"/>
    </row>
    <row r="26" spans="1:15" x14ac:dyDescent="0.25">
      <c r="A26" s="43" t="s">
        <v>46</v>
      </c>
      <c r="B26" s="38"/>
      <c r="C26" s="38"/>
      <c r="D26" s="38"/>
      <c r="E26" s="174" t="str">
        <f>F19</f>
        <v>Trần Văn Dương</v>
      </c>
      <c r="F26" s="174"/>
      <c r="G26" s="38" t="s">
        <v>47</v>
      </c>
      <c r="H26" s="38"/>
      <c r="I26" s="38"/>
      <c r="J26" s="38"/>
      <c r="K26" s="11"/>
      <c r="L26" s="11"/>
      <c r="M26" s="11"/>
      <c r="N26" s="11"/>
      <c r="O26" s="11"/>
    </row>
    <row r="27" spans="1:15" s="47" customFormat="1" x14ac:dyDescent="0.3">
      <c r="A27" s="24" t="s">
        <v>50</v>
      </c>
      <c r="K27" s="11"/>
      <c r="L27" s="11"/>
      <c r="M27" s="11"/>
      <c r="N27" s="11"/>
      <c r="O27" s="11"/>
    </row>
    <row r="28" spans="1:15" s="47" customFormat="1" x14ac:dyDescent="0.3">
      <c r="A28" s="24"/>
      <c r="K28" s="11"/>
      <c r="L28" s="11"/>
      <c r="M28" s="11"/>
      <c r="N28" s="11"/>
      <c r="O28" s="11"/>
    </row>
    <row r="29" spans="1:15" x14ac:dyDescent="0.3">
      <c r="A29" s="131"/>
      <c r="B29" s="131"/>
      <c r="C29" s="131"/>
      <c r="D29" s="131"/>
      <c r="E29" s="131"/>
      <c r="F29" s="124" t="s">
        <v>49</v>
      </c>
      <c r="G29" s="124"/>
      <c r="H29" s="124"/>
      <c r="I29" s="124"/>
      <c r="J29" s="124"/>
    </row>
    <row r="30" spans="1:15" ht="18.75" customHeight="1" x14ac:dyDescent="0.3">
      <c r="A30" s="147"/>
      <c r="B30" s="147"/>
      <c r="C30" s="147"/>
      <c r="D30" s="147"/>
      <c r="E30" s="147"/>
      <c r="F30" s="147" t="s">
        <v>139</v>
      </c>
      <c r="G30" s="147"/>
      <c r="H30" s="147"/>
      <c r="I30" s="147"/>
      <c r="J30" s="147"/>
    </row>
    <row r="31" spans="1:15" x14ac:dyDescent="0.3">
      <c r="H31" s="26"/>
    </row>
    <row r="32" spans="1:15" x14ac:dyDescent="0.3">
      <c r="A32" s="23"/>
      <c r="H32" s="27"/>
    </row>
    <row r="33" spans="1:15" x14ac:dyDescent="0.3">
      <c r="A33" s="23"/>
      <c r="H33" s="27"/>
    </row>
    <row r="34" spans="1:15" x14ac:dyDescent="0.3">
      <c r="H34" s="27"/>
    </row>
    <row r="35" spans="1:15" x14ac:dyDescent="0.3">
      <c r="H35" s="25"/>
    </row>
    <row r="36" spans="1:15" x14ac:dyDescent="0.3">
      <c r="A36" s="28"/>
      <c r="F36" s="125" t="s">
        <v>153</v>
      </c>
      <c r="G36" s="125"/>
      <c r="H36" s="125"/>
      <c r="I36" s="125"/>
      <c r="J36" s="125"/>
    </row>
    <row r="37" spans="1:15" x14ac:dyDescent="0.3">
      <c r="A37" s="28"/>
    </row>
    <row r="41" spans="1:15" ht="13.5" customHeight="1" x14ac:dyDescent="0.3"/>
    <row r="44" spans="1:15" s="48" customFormat="1" x14ac:dyDescent="0.3">
      <c r="A44" s="37"/>
      <c r="K44" s="1"/>
      <c r="L44" s="1"/>
      <c r="M44" s="1"/>
      <c r="N44" s="1"/>
      <c r="O44" s="1"/>
    </row>
    <row r="45" spans="1:15" s="48" customFormat="1" x14ac:dyDescent="0.3">
      <c r="A45" s="37"/>
      <c r="K45" s="1"/>
      <c r="L45" s="1"/>
      <c r="M45" s="1"/>
      <c r="N45" s="1"/>
      <c r="O45" s="1"/>
    </row>
    <row r="46" spans="1:15" ht="18.75" customHeight="1" x14ac:dyDescent="0.3">
      <c r="A46" s="124" t="s">
        <v>51</v>
      </c>
      <c r="B46" s="124"/>
      <c r="C46" s="124"/>
      <c r="D46" s="124"/>
      <c r="E46" s="124"/>
      <c r="F46" s="124"/>
      <c r="G46" s="124"/>
      <c r="H46" s="124"/>
      <c r="I46" s="124"/>
      <c r="J46" s="124"/>
    </row>
    <row r="48" spans="1:15" x14ac:dyDescent="0.3">
      <c r="A48" s="125" t="s">
        <v>206</v>
      </c>
      <c r="B48" s="125"/>
      <c r="C48" s="125"/>
      <c r="D48" s="125"/>
      <c r="E48" s="125"/>
      <c r="F48" s="40" t="s">
        <v>12</v>
      </c>
      <c r="G48" s="154" t="s">
        <v>207</v>
      </c>
      <c r="H48" s="154"/>
      <c r="I48" s="20"/>
      <c r="J48" s="20"/>
    </row>
    <row r="49" spans="1:6" x14ac:dyDescent="0.3">
      <c r="A49" s="133" t="s">
        <v>52</v>
      </c>
      <c r="B49" s="133"/>
      <c r="C49" s="133"/>
      <c r="D49" s="24" t="s">
        <v>14</v>
      </c>
    </row>
    <row r="50" spans="1:6" x14ac:dyDescent="0.3">
      <c r="A50" s="133" t="s">
        <v>53</v>
      </c>
      <c r="B50" s="133"/>
      <c r="C50" s="133"/>
      <c r="D50" s="24" t="s">
        <v>154</v>
      </c>
    </row>
    <row r="51" spans="1:6" x14ac:dyDescent="0.3">
      <c r="A51" s="133" t="s">
        <v>138</v>
      </c>
      <c r="B51" s="133"/>
      <c r="C51" s="133"/>
      <c r="D51" s="133"/>
      <c r="E51" s="24" t="s">
        <v>55</v>
      </c>
    </row>
    <row r="52" spans="1:6" x14ac:dyDescent="0.3">
      <c r="A52" s="24" t="s">
        <v>54</v>
      </c>
      <c r="B52" s="24"/>
      <c r="C52" s="24"/>
      <c r="D52" s="24"/>
      <c r="E52" s="24"/>
    </row>
    <row r="53" spans="1:6" x14ac:dyDescent="0.3">
      <c r="A53" s="24" t="s">
        <v>56</v>
      </c>
    </row>
    <row r="54" spans="1:6" x14ac:dyDescent="0.3">
      <c r="A54" s="21" t="s">
        <v>57</v>
      </c>
      <c r="E54" s="50" t="str">
        <f>TTCHUNG!C4</f>
        <v>1810GP1025/225CO</v>
      </c>
    </row>
    <row r="55" spans="1:6" x14ac:dyDescent="0.3">
      <c r="A55" s="24" t="s">
        <v>58</v>
      </c>
    </row>
    <row r="56" spans="1:6" x14ac:dyDescent="0.3">
      <c r="A56" s="24" t="s">
        <v>60</v>
      </c>
    </row>
    <row r="57" spans="1:6" x14ac:dyDescent="0.3">
      <c r="A57" s="24" t="s">
        <v>59</v>
      </c>
      <c r="B57" s="51"/>
      <c r="F57" s="49"/>
    </row>
    <row r="58" spans="1:6" ht="21.95" customHeight="1" x14ac:dyDescent="0.3">
      <c r="A58" s="4" t="s">
        <v>61</v>
      </c>
    </row>
    <row r="59" spans="1:6" ht="21.95" customHeight="1" x14ac:dyDescent="0.3">
      <c r="A59" s="4" t="s">
        <v>61</v>
      </c>
    </row>
    <row r="60" spans="1:6" ht="21.95" customHeight="1" x14ac:dyDescent="0.3">
      <c r="A60" s="4" t="s">
        <v>61</v>
      </c>
    </row>
    <row r="61" spans="1:6" ht="21.95" customHeight="1" x14ac:dyDescent="0.3">
      <c r="A61" s="4" t="s">
        <v>61</v>
      </c>
    </row>
    <row r="62" spans="1:6" ht="21.95" customHeight="1" x14ac:dyDescent="0.3">
      <c r="A62" s="4" t="s">
        <v>61</v>
      </c>
    </row>
    <row r="63" spans="1:6" ht="21.95" customHeight="1" x14ac:dyDescent="0.3">
      <c r="A63" s="4" t="s">
        <v>61</v>
      </c>
    </row>
    <row r="64" spans="1:6" ht="21.95" customHeight="1" x14ac:dyDescent="0.3">
      <c r="A64" s="4" t="s">
        <v>61</v>
      </c>
    </row>
    <row r="65" spans="1:15" ht="21.95" customHeight="1" x14ac:dyDescent="0.3">
      <c r="A65" s="4" t="s">
        <v>61</v>
      </c>
    </row>
    <row r="66" spans="1:15" ht="21.95" customHeight="1" x14ac:dyDescent="0.3">
      <c r="A66" s="4" t="s">
        <v>61</v>
      </c>
    </row>
    <row r="67" spans="1:15" ht="21.95" customHeight="1" x14ac:dyDescent="0.3">
      <c r="A67" s="4" t="s">
        <v>61</v>
      </c>
    </row>
    <row r="68" spans="1:15" ht="21.95" customHeight="1" x14ac:dyDescent="0.3">
      <c r="A68" s="4" t="s">
        <v>61</v>
      </c>
    </row>
    <row r="69" spans="1:15" ht="21.95" customHeight="1" x14ac:dyDescent="0.3">
      <c r="A69" s="4" t="s">
        <v>61</v>
      </c>
    </row>
    <row r="70" spans="1:15" ht="21.95" customHeight="1" x14ac:dyDescent="0.3">
      <c r="A70" s="4" t="s">
        <v>61</v>
      </c>
    </row>
    <row r="72" spans="1:15" s="21" customFormat="1" x14ac:dyDescent="0.3">
      <c r="A72" s="125" t="s">
        <v>140</v>
      </c>
      <c r="B72" s="125"/>
      <c r="C72" s="125"/>
      <c r="D72" s="125"/>
      <c r="E72" s="125"/>
      <c r="F72" s="125" t="s">
        <v>62</v>
      </c>
      <c r="G72" s="125"/>
      <c r="H72" s="125"/>
      <c r="I72" s="125"/>
      <c r="J72" s="125"/>
      <c r="K72" s="1"/>
      <c r="L72" s="1"/>
      <c r="M72" s="1"/>
      <c r="N72" s="1"/>
      <c r="O72" s="1"/>
    </row>
    <row r="73" spans="1:15" s="52" customFormat="1" x14ac:dyDescent="0.3">
      <c r="A73" s="147" t="s">
        <v>139</v>
      </c>
      <c r="B73" s="147"/>
      <c r="C73" s="147"/>
      <c r="D73" s="147"/>
      <c r="E73" s="147"/>
      <c r="F73" s="175" t="s">
        <v>24</v>
      </c>
      <c r="G73" s="175"/>
      <c r="H73" s="175"/>
      <c r="I73" s="175"/>
      <c r="J73" s="175"/>
      <c r="K73" s="1"/>
      <c r="L73" s="1"/>
      <c r="M73" s="1"/>
      <c r="N73" s="1"/>
      <c r="O73" s="1"/>
    </row>
    <row r="74" spans="1:15" s="21" customFormat="1" x14ac:dyDescent="0.3">
      <c r="K74" s="1"/>
      <c r="L74" s="1"/>
      <c r="M74" s="1"/>
      <c r="N74" s="1"/>
      <c r="O74" s="1"/>
    </row>
    <row r="75" spans="1:15" s="21" customFormat="1" x14ac:dyDescent="0.3">
      <c r="K75" s="1"/>
      <c r="L75" s="1"/>
      <c r="M75" s="1"/>
      <c r="N75" s="1"/>
      <c r="O75" s="1"/>
    </row>
    <row r="76" spans="1:15" s="21" customFormat="1" x14ac:dyDescent="0.3">
      <c r="K76" s="1"/>
      <c r="L76" s="1"/>
      <c r="M76" s="1"/>
      <c r="N76" s="1"/>
      <c r="O76" s="1"/>
    </row>
    <row r="77" spans="1:15" s="21" customFormat="1" x14ac:dyDescent="0.3">
      <c r="K77" s="1"/>
      <c r="L77" s="1"/>
      <c r="M77" s="1"/>
      <c r="N77" s="1"/>
      <c r="O77" s="1"/>
    </row>
    <row r="78" spans="1:15" s="21" customFormat="1" x14ac:dyDescent="0.3">
      <c r="K78" s="1"/>
      <c r="L78" s="1"/>
      <c r="M78" s="1"/>
      <c r="N78" s="1"/>
      <c r="O78" s="1"/>
    </row>
    <row r="79" spans="1:15" s="21" customFormat="1" x14ac:dyDescent="0.3">
      <c r="K79" s="1"/>
      <c r="L79" s="1"/>
      <c r="M79" s="1"/>
      <c r="N79" s="1"/>
      <c r="O79" s="1"/>
    </row>
    <row r="80" spans="1:15" s="21" customFormat="1" x14ac:dyDescent="0.3">
      <c r="K80" s="1"/>
      <c r="L80" s="1"/>
      <c r="M80" s="1"/>
      <c r="N80" s="1"/>
      <c r="O80" s="1"/>
    </row>
  </sheetData>
  <mergeCells count="38">
    <mergeCell ref="A50:C50"/>
    <mergeCell ref="A51:D51"/>
    <mergeCell ref="A72:E72"/>
    <mergeCell ref="F72:J72"/>
    <mergeCell ref="A73:E73"/>
    <mergeCell ref="F73:J73"/>
    <mergeCell ref="A49:C49"/>
    <mergeCell ref="A23:C23"/>
    <mergeCell ref="A25:B25"/>
    <mergeCell ref="C25:E25"/>
    <mergeCell ref="E26:F26"/>
    <mergeCell ref="A29:E29"/>
    <mergeCell ref="F29:J29"/>
    <mergeCell ref="F36:J36"/>
    <mergeCell ref="A30:E30"/>
    <mergeCell ref="F30:J30"/>
    <mergeCell ref="A46:J46"/>
    <mergeCell ref="A48:E48"/>
    <mergeCell ref="G48:H48"/>
    <mergeCell ref="A16:J16"/>
    <mergeCell ref="A17:J17"/>
    <mergeCell ref="A18:J18"/>
    <mergeCell ref="A20:B20"/>
    <mergeCell ref="A22:C22"/>
    <mergeCell ref="H22:I22"/>
    <mergeCell ref="A15:J15"/>
    <mergeCell ref="A4:D4"/>
    <mergeCell ref="E4:J4"/>
    <mergeCell ref="A5:D5"/>
    <mergeCell ref="E5:J5"/>
    <mergeCell ref="A6:D6"/>
    <mergeCell ref="A7:D7"/>
    <mergeCell ref="E7:J7"/>
    <mergeCell ref="A9:J9"/>
    <mergeCell ref="B10:I10"/>
    <mergeCell ref="A12:D12"/>
    <mergeCell ref="A13:B13"/>
    <mergeCell ref="A14:J14"/>
  </mergeCells>
  <printOptions horizontalCentered="1" verticalCentered="1"/>
  <pageMargins left="0.7" right="0.25" top="0" bottom="0.25" header="0.3" footer="0.3"/>
  <pageSetup paperSize="9" scale="9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TTCHUNG</vt:lpstr>
      <vt:lpstr>Tiếp nhận</vt:lpstr>
      <vt:lpstr>GG(CAT)</vt:lpstr>
      <vt:lpstr>GN(CAT)</vt:lpstr>
      <vt:lpstr>NX</vt:lpstr>
      <vt:lpstr>CĐ</vt:lpstr>
      <vt:lpstr>LAPHS</vt:lpstr>
      <vt:lpstr>KTHS</vt:lpstr>
      <vt:lpstr>CĐ!Print_Area</vt:lpstr>
      <vt:lpstr>'GG(CAT)'!Print_Area</vt:lpstr>
      <vt:lpstr>'GN(CAT)'!Print_Area</vt:lpstr>
      <vt:lpstr>KTHS!Print_Area</vt:lpstr>
      <vt:lpstr>LAPHS!Print_Area</vt:lpstr>
      <vt:lpstr>NX!Print_Area</vt:lpstr>
      <vt:lpstr>'Tiếp nhận'!Print_Area</vt:lpstr>
      <vt:lpstr>TTCHUNG!Print_Area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2026-03-14T00:39:23Z</cp:lastPrinted>
  <dcterms:created xsi:type="dcterms:W3CDTF">2022-12-21T08:32:01Z</dcterms:created>
  <dcterms:modified xsi:type="dcterms:W3CDTF">2026-03-16T10:38:29Z</dcterms:modified>
</cp:coreProperties>
</file>